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 tabRatio="830" firstSheet="1" activeTab="1"/>
  </bookViews>
  <sheets>
    <sheet name="BD" sheetId="572" state="hidden" r:id="rId1"/>
    <sheet name="VMD" sheetId="1159" r:id="rId2"/>
    <sheet name="VMDf" sheetId="1157" r:id="rId3"/>
    <sheet name="FIT" sheetId="1098" r:id="rId4"/>
    <sheet name="TRANSPORTES" sheetId="57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localSheetId="4" hidden="1">{#N/A,#N/A,TRUE,"Serviços"}</definedName>
    <definedName name="___________________OUT98" hidden="1">{#N/A,#N/A,TRUE,"Serviços"}</definedName>
    <definedName name="__________________OUT98" localSheetId="4" hidden="1">{#N/A,#N/A,TRUE,"Serviços"}</definedName>
    <definedName name="__________________OUT98" hidden="1">{#N/A,#N/A,TRUE,"Serviços"}</definedName>
    <definedName name="_________________OUT98" localSheetId="4" hidden="1">{#N/A,#N/A,TRUE,"Serviços"}</definedName>
    <definedName name="_________________OUT98" hidden="1">{#N/A,#N/A,TRUE,"Serviços"}</definedName>
    <definedName name="________________OUT98" localSheetId="4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4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4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4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4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4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4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4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4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4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4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4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[1]aux!$I$28:$M$28</definedName>
    <definedName name="__123Graph_AGraph1" hidden="1">[1]aux!$I$6:$M$6</definedName>
    <definedName name="__123Graph_AGraph10" hidden="1">[1]aux!$I$24:$M$24</definedName>
    <definedName name="__123Graph_AGraph11" hidden="1">[1]aux!$I$26:$M$26</definedName>
    <definedName name="__123Graph_AGraph12" hidden="1">[1]aux!$I$28:$M$28</definedName>
    <definedName name="__123Graph_AGraph2" hidden="1">[1]aux!$I$8:$M$8</definedName>
    <definedName name="__123Graph_AGraph3" hidden="1">[1]aux!$I$10:$M$10</definedName>
    <definedName name="__123Graph_AGraph4" hidden="1">[1]aux!$I$12:$M$12</definedName>
    <definedName name="__123Graph_AGraph5" hidden="1">[1]aux!$I$14:$M$14</definedName>
    <definedName name="__123Graph_AGraph6" hidden="1">[1]aux!$I$16:$M$16</definedName>
    <definedName name="__123Graph_AGraph7" hidden="1">[1]aux!$I$18:$M$18</definedName>
    <definedName name="__123Graph_AGraph8" hidden="1">[1]aux!$I$20:$M$20</definedName>
    <definedName name="__123Graph_AGraph9" hidden="1">[1]aux!$I$22:$M$22</definedName>
    <definedName name="__123Graph_B" hidden="1">[1]aux!$B$28:$F$28</definedName>
    <definedName name="__123Graph_BGraph1" hidden="1">[1]aux!$B$6:$F$6</definedName>
    <definedName name="__123Graph_BGraph10" hidden="1">[1]aux!$B$24:$F$24</definedName>
    <definedName name="__123Graph_BGraph11" hidden="1">[1]aux!$B$26:$F$26</definedName>
    <definedName name="__123Graph_BGraph12" hidden="1">[1]aux!$B$28:$F$28</definedName>
    <definedName name="__123Graph_BGraph2" hidden="1">[1]aux!$B$8:$F$8</definedName>
    <definedName name="__123Graph_BGraph3" hidden="1">[1]aux!$B$10:$F$10</definedName>
    <definedName name="__123Graph_BGraph4" hidden="1">[1]aux!$B$12:$F$12</definedName>
    <definedName name="__123Graph_BGraph5" hidden="1">[1]aux!$B$14:$F$14</definedName>
    <definedName name="__123Graph_BGraph6" hidden="1">[1]aux!$B$16:$F$16</definedName>
    <definedName name="__123Graph_BGraph7" hidden="1">[1]aux!$B$18:$F$18</definedName>
    <definedName name="__123Graph_BGraph8" hidden="1">[1]aux!$B$20:$F$20</definedName>
    <definedName name="__123Graph_BGraph9" hidden="1">[1]aux!$B$22:$F$22</definedName>
    <definedName name="__123Graph_C" hidden="1">[2]A!$B$6:$E$6</definedName>
    <definedName name="__123Graph_CGraph7" hidden="1">[2]A!$B$6:$E$6</definedName>
    <definedName name="__123Graph_CGraph8" hidden="1">[2]A!$B$6:$E$6</definedName>
    <definedName name="__123Graph_D" hidden="1">[2]A!$B$7:$E$7</definedName>
    <definedName name="__123Graph_DGraph7" hidden="1">[2]A!$B$7:$E$7</definedName>
    <definedName name="__123Graph_DGraph8" hidden="1">[2]A!$B$7:$E$7</definedName>
    <definedName name="__123Graph_E" hidden="1">[2]A!$B$8:$E$8</definedName>
    <definedName name="__123Graph_EGraph7" hidden="1">[2]A!$B$8:$E$8</definedName>
    <definedName name="__123Graph_EGraph8" hidden="1">[2]A!$B$8:$E$8</definedName>
    <definedName name="__123Graph_X" hidden="1">[1]aux!$B$29:$F$29</definedName>
    <definedName name="__123Graph_XGraph1" hidden="1">[1]aux!$B$7:$F$7</definedName>
    <definedName name="__123Graph_XGraph10" hidden="1">[1]aux!$B$25:$F$25</definedName>
    <definedName name="__123Graph_XGraph11" hidden="1">[1]aux!$B$27:$F$27</definedName>
    <definedName name="__123Graph_XGraph12" hidden="1">[1]aux!$B$29:$F$29</definedName>
    <definedName name="__123Graph_XGraph2" hidden="1">[1]aux!$B$9:$F$9</definedName>
    <definedName name="__123Graph_XGraph3" hidden="1">[1]aux!$B$11:$F$11</definedName>
    <definedName name="__123Graph_XGraph4" hidden="1">[1]aux!$B$13:$F$13</definedName>
    <definedName name="__123Graph_XGraph5" hidden="1">[1]aux!$B$15:$F$15</definedName>
    <definedName name="__123Graph_XGraph6" hidden="1">[1]aux!$B$17:$F$17</definedName>
    <definedName name="__123Graph_XGraph7" hidden="1">[1]aux!$B$19:$F$19</definedName>
    <definedName name="__123Graph_XGraph8" hidden="1">[1]aux!$B$21:$F$21</definedName>
    <definedName name="__123Graph_XGraph9" hidden="1">[1]aux!$B$23:$F$23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4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localSheetId="2" hidden="1">[3]EAIGESEN!#REF!</definedName>
    <definedName name="_10__123Graph_ECHART_1" hidden="1">[3]EAIGESEN!#REF!</definedName>
    <definedName name="_12__123Graph_FCHART_1" localSheetId="2" hidden="1">[3]EAIGESEN!#REF!</definedName>
    <definedName name="_12__123Graph_FCHART_1" hidden="1">[3]EAIGESEN!#REF!</definedName>
    <definedName name="_123" hidden="1">{#N/A,#N/A,TRUE,"Serviços"}</definedName>
    <definedName name="_14__123Graph_XCHART_3" localSheetId="2" hidden="1">[4]estgg!#REF!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localSheetId="2" hidden="1">[3]EAIGESEN!#REF!</definedName>
    <definedName name="_4__123Graph_BCHART_1" hidden="1">[3]EAIGESEN!#REF!</definedName>
    <definedName name="_6__123Graph_CCHART_1" localSheetId="2" hidden="1">[3]EAIGESEN!#REF!</definedName>
    <definedName name="_6__123Graph_CCHART_1" hidden="1">[3]EAIGESEN!#REF!</definedName>
    <definedName name="_8__123Graph_DCHART_1" localSheetId="2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localSheetId="4" hidden="1">#REF!</definedName>
    <definedName name="_Fill" localSheetId="2" hidden="1">#REF!</definedName>
    <definedName name="_Fill" hidden="1">#REF!</definedName>
    <definedName name="_Key1" hidden="1">'[5]1.6'!$A$11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localSheetId="2" hidden="1">#REF!</definedName>
    <definedName name="_Parse_On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2" hidden="1">#REF!</definedName>
    <definedName name="_Sort" hidden="1">#REF!</definedName>
    <definedName name="aaaa1" hidden="1">{#N/A,#N/A,TRUE,"Serviços"}</definedName>
    <definedName name="aaaaa" localSheetId="4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4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4" hidden="1">{#N/A,#N/A,FALSE,"MO (2)"}</definedName>
    <definedName name="alex" hidden="1">{#N/A,#N/A,FALSE,"MO (2)"}</definedName>
    <definedName name="alex_1" hidden="1">{#N/A,#N/A,FALSE,"MO (2)"}</definedName>
    <definedName name="am" localSheetId="4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4" hidden="1">{#N/A,#N/A,FALSE,"MO (2)"}</definedName>
    <definedName name="ant" hidden="1">{#N/A,#N/A,FALSE,"MO (2)"}</definedName>
    <definedName name="ant_1" hidden="1">{#N/A,#N/A,FALSE,"MO (2)"}</definedName>
    <definedName name="_xlnm.Print_Area" localSheetId="0">BD!$A$1:$F$125</definedName>
    <definedName name="_xlnm.Print_Area" localSheetId="3">FIT!$B$2:$T$60</definedName>
    <definedName name="_xlnm.Print_Area" localSheetId="4">TRANSPORTES!$A$1:$P$70</definedName>
    <definedName name="_xlnm.Print_Area" localSheetId="1">VMD!$A$2:$I$10</definedName>
    <definedName name="_xlnm.Print_Area" localSheetId="2">VMDf!$B$2:$T$22</definedName>
    <definedName name="asasa" localSheetId="4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4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4" hidden="1">{#N/A,#N/A,FALSE,"MO (2)"}</definedName>
    <definedName name="bbbb" hidden="1">{#N/A,#N/A,FALSE,"MO (2)"}</definedName>
    <definedName name="bbbb_1" hidden="1">{#N/A,#N/A,FALSE,"MO (2)"}</definedName>
    <definedName name="bbbbbbb" localSheetId="4" hidden="1">{#N/A,#N/A,FALSE,"MO (2)"}</definedName>
    <definedName name="bbbbbbb" hidden="1">{#N/A,#N/A,FALSE,"MO (2)"}</definedName>
    <definedName name="Bloco" localSheetId="4" hidden="1">#REF!</definedName>
    <definedName name="Bloco" localSheetId="2" hidden="1">#REF!</definedName>
    <definedName name="Bloco" hidden="1">#REF!</definedName>
    <definedName name="Bloco2" localSheetId="4" hidden="1">#REF!</definedName>
    <definedName name="Bloco2" localSheetId="2" hidden="1">#REF!</definedName>
    <definedName name="Bloco2" hidden="1">#REF!</definedName>
    <definedName name="BLOCOS" localSheetId="4" hidden="1">{#N/A,#N/A,FALSE,"Plan1"}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4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localSheetId="4" hidden="1">#REF!</definedName>
    <definedName name="CadIns" localSheetId="2" hidden="1">#REF!</definedName>
    <definedName name="CadIns" hidden="1">#REF!</definedName>
    <definedName name="CadSrv" localSheetId="4" hidden="1">#REF!</definedName>
    <definedName name="CadSrv" localSheetId="2" hidden="1">#REF!</definedName>
    <definedName name="CadSrv" hidden="1">#REF!</definedName>
    <definedName name="CAPA" localSheetId="4" hidden="1">{#N/A,#N/A,TRUE,"Serviços"}</definedName>
    <definedName name="CAPA" hidden="1">{#N/A,#N/A,TRUE,"Serviços"}</definedName>
    <definedName name="CAPA_1" hidden="1">{#N/A,#N/A,TRUE,"Serviços"}</definedName>
    <definedName name="capa1" localSheetId="4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4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localSheetId="4" hidden="1">{#N/A,#N/A,FALSE,"Plan1"}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localSheetId="4" hidden="1">#REF!</definedName>
    <definedName name="Chave" localSheetId="2" hidden="1">#REF!</definedName>
    <definedName name="Chave" hidden="1">#REF!</definedName>
    <definedName name="Chave1" localSheetId="4" hidden="1">#REF!</definedName>
    <definedName name="Chave1" localSheetId="2" hidden="1">#REF!</definedName>
    <definedName name="Chave1" hidden="1">#REF!</definedName>
    <definedName name="Clas" localSheetId="4" hidden="1">MAX(LEN(#REF!))</definedName>
    <definedName name="Clas" localSheetId="2" hidden="1">MAX(LEN(#REF!))</definedName>
    <definedName name="Clas" hidden="1">MAX(LEN(#REF!))</definedName>
    <definedName name="Clas_1" localSheetId="2" hidden="1">MAX(LEN(#REF!))</definedName>
    <definedName name="Clas_1" hidden="1">MAX(LEN(#REF!))</definedName>
    <definedName name="Cliente" hidden="1">""</definedName>
    <definedName name="Cls" hidden="1">#N/A</definedName>
    <definedName name="Cod" localSheetId="4" hidden="1">#REF!</definedName>
    <definedName name="Cod" localSheetId="2" hidden="1">#REF!</definedName>
    <definedName name="Cod" hidden="1">#REF!</definedName>
    <definedName name="Codigo" localSheetId="4" hidden="1">#REF!</definedName>
    <definedName name="Codigo" localSheetId="2" hidden="1">#REF!</definedName>
    <definedName name="Codigo" hidden="1">#REF!</definedName>
    <definedName name="Coluna" localSheetId="4" hidden="1">#REF!</definedName>
    <definedName name="Coluna" localSheetId="2" hidden="1">#REF!</definedName>
    <definedName name="Coluna" hidden="1">#REF!</definedName>
    <definedName name="Comp" localSheetId="4" hidden="1">#REF!</definedName>
    <definedName name="Comp" localSheetId="2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localSheetId="4" hidden="1">#REF!</definedName>
    <definedName name="CpuAux" localSheetId="2" hidden="1">#REF!</definedName>
    <definedName name="CpuAux" hidden="1">#REF!</definedName>
    <definedName name="CPUs" localSheetId="4" hidden="1">#REF!</definedName>
    <definedName name="CPUs" localSheetId="2" hidden="1">#REF!</definedName>
    <definedName name="CPUs" hidden="1">#REF!</definedName>
    <definedName name="CRIT" localSheetId="4" hidden="1">#REF!</definedName>
    <definedName name="CRIT" localSheetId="2" hidden="1">#REF!</definedName>
    <definedName name="CRIT" hidden="1">#REF!</definedName>
    <definedName name="Criteria" localSheetId="2" hidden="1">#REF!</definedName>
    <definedName name="Criteria" hidden="1">#REF!</definedName>
    <definedName name="_xlnm.Criteria" localSheetId="4" hidden="1">#REF!</definedName>
    <definedName name="_xlnm.Criteria" localSheetId="2" hidden="1">#REF!</definedName>
    <definedName name="_xlnm.Criteria" hidden="1">#REF!</definedName>
    <definedName name="CRO" hidden="1">{#N/A,#N/A,FALSE,"MO (2)"}</definedName>
    <definedName name="Cron" localSheetId="4" hidden="1">{#N/A,#N/A,FALSE,"MO (2)"}</definedName>
    <definedName name="Cron" hidden="1">{#N/A,#N/A,FALSE,"MO (2)"}</definedName>
    <definedName name="Cron_1" hidden="1">{#N/A,#N/A,FALSE,"MO (2)"}</definedName>
    <definedName name="cronograma" localSheetId="4" hidden="1">{#N/A,#N/A,TRUE,"Plan1"}</definedName>
    <definedName name="cronograma" hidden="1">{#N/A,#N/A,TRUE,"Plan1"}</definedName>
    <definedName name="cronograma_1" hidden="1">{#N/A,#N/A,TRUE,"Plan1"}</definedName>
    <definedName name="cu" localSheetId="4" hidden="1">{#N/A,#N/A,TRUE,"Serviços"}</definedName>
    <definedName name="cu" hidden="1">{#N/A,#N/A,TRUE,"Serviços"}</definedName>
    <definedName name="CunEq" localSheetId="4" hidden="1">SUM(IF(#REF! =#REF!,(#REF!)*(#REF!="EQ")))</definedName>
    <definedName name="CunEq" localSheetId="2" hidden="1">SUM(IF(#REF! =#REF!,(#REF!)*(#REF!="EQ")))</definedName>
    <definedName name="CunEq" hidden="1">SUM(IF(#REF! =#REF!,(#REF!)*(#REF!="EQ")))</definedName>
    <definedName name="CunEq_1" localSheetId="2" hidden="1">SUM(IF(#REF! =#REF!,(#REF!)*(#REF!="EQ")))</definedName>
    <definedName name="CunEq_1" hidden="1">SUM(IF(#REF! =#REF!,(#REF!)*(#REF!="EQ")))</definedName>
    <definedName name="CunMo" localSheetId="4" hidden="1">SUM(IF(#REF! =#REF!,(#REF!)*(#REF!="MO")))</definedName>
    <definedName name="CunMo" localSheetId="2" hidden="1">SUM(IF(#REF! =#REF!,(#REF!)*(#REF!="MO")))</definedName>
    <definedName name="CunMo" hidden="1">SUM(IF(#REF! =#REF!,(#REF!)*(#REF!="MO")))</definedName>
    <definedName name="CunMo_1" localSheetId="2" hidden="1">SUM(IF(#REF! =#REF!,(#REF!)*(#REF!="MO")))</definedName>
    <definedName name="CunMo_1" hidden="1">SUM(IF(#REF! =#REF!,(#REF!)*(#REF!="MO")))</definedName>
    <definedName name="CunMp" localSheetId="4" hidden="1">SUM(IF(#REF! =#REF!,(#REF!)*(#REF!="MP")))</definedName>
    <definedName name="CunMp" localSheetId="2" hidden="1">SUM(IF(#REF! =#REF!,(#REF!)*(#REF!="MP")))</definedName>
    <definedName name="CunMp" hidden="1">SUM(IF(#REF! =#REF!,(#REF!)*(#REF!="MP")))</definedName>
    <definedName name="CunMp_1" localSheetId="2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4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localSheetId="2" hidden="1">#REF!</definedName>
    <definedName name="Data" hidden="1">#REF!</definedName>
    <definedName name="dawdw" hidden="1">{#N/A,#N/A,TRUE,"Serviços"}</definedName>
    <definedName name="ddere" localSheetId="4" hidden="1">{#N/A,#N/A,FALSE,"MO (2)"}</definedName>
    <definedName name="ddere" hidden="1">{#N/A,#N/A,FALSE,"MO (2)"}</definedName>
    <definedName name="deb" localSheetId="4" hidden="1">#REF!</definedName>
    <definedName name="deb" localSheetId="2" hidden="1">#REF!</definedName>
    <definedName name="deb" hidden="1">#REF!</definedName>
    <definedName name="defensas" localSheetId="4" hidden="1">#REF!</definedName>
    <definedName name="defensas" localSheetId="2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4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4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4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4" hidden="1">{#N/A,#N/A,FALSE,"MO (2)"}</definedName>
    <definedName name="eng." hidden="1">{#N/A,#N/A,FALSE,"MO (2)"}</definedName>
    <definedName name="ENGENHARIA" localSheetId="4" hidden="1">{#N/A,#N/A,FALSE,"MO (2)"}</definedName>
    <definedName name="ENGENHARIA" hidden="1">{#N/A,#N/A,FALSE,"MO (2)"}</definedName>
    <definedName name="Enrocamento" localSheetId="4" hidden="1">{#N/A,#N/A,TRUE,"Plan1"}</definedName>
    <definedName name="Enrocamento" hidden="1">{#N/A,#N/A,TRUE,"Plan1"}</definedName>
    <definedName name="Enrocamentos" localSheetId="4" hidden="1">{#N/A,#N/A,TRUE,"Plan1"}</definedName>
    <definedName name="Enrocamentos" hidden="1">{#N/A,#N/A,TRUE,"Plan1"}</definedName>
    <definedName name="EQ" localSheetId="4" hidden="1">#REF!</definedName>
    <definedName name="EQ" localSheetId="2" hidden="1">#REF!</definedName>
    <definedName name="EQ" hidden="1">#REF!</definedName>
    <definedName name="Equip" localSheetId="2" hidden="1">#REF!</definedName>
    <definedName name="Equip" hidden="1">#REF!</definedName>
    <definedName name="ereerer" localSheetId="4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4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4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4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4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4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localSheetId="4" hidden="1">{#N/A,#N/A,FALSE,"Plan1"}</definedName>
    <definedName name="FOOR" hidden="1">{#N/A,#N/A,FALSE,"Plan1"}</definedName>
    <definedName name="FORMULÁRIO" localSheetId="4" hidden="1">{#N/A,#N/A,FALSE,"Plan1"}</definedName>
    <definedName name="FORMULÁRIO" hidden="1">{#N/A,#N/A,FALSE,"Plan1"}</definedName>
    <definedName name="FORRO" localSheetId="4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localSheetId="4" hidden="1">{#N/A,#N/A,FALSE,"Plan1"}</definedName>
    <definedName name="FRR" hidden="1">{#N/A,#N/A,FALSE,"Plan1"}</definedName>
    <definedName name="gfgfgfg" localSheetId="4" hidden="1">{#N/A,#N/A,FALSE,"MO (2)"}</definedName>
    <definedName name="gfgfgfg" hidden="1">{#N/A,#N/A,FALSE,"MO (2)"}</definedName>
    <definedName name="ghghgh" localSheetId="4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4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4" hidden="1">{#N/A,#N/A,FALSE,"MO (2)"}</definedName>
    <definedName name="hhhhh" hidden="1">{#N/A,#N/A,FALSE,"MO (2)"}</definedName>
    <definedName name="hjhjhjhju" localSheetId="4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4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4" hidden="1">#REF!</definedName>
    <definedName name="Insumos" localSheetId="2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4" hidden="1">#REF!</definedName>
    <definedName name="Itens" localSheetId="2" hidden="1">#REF!</definedName>
    <definedName name="Itens" hidden="1">#REF!</definedName>
    <definedName name="iuoiaev" hidden="1">{#N/A,#N/A,TRUE,"Serviços"}</definedName>
    <definedName name="j" localSheetId="4" hidden="1">{#N/A,#N/A,FALSE,"MO (2)"}</definedName>
    <definedName name="j" hidden="1">{#N/A,#N/A,FALSE,"MO (2)"}</definedName>
    <definedName name="JANEIRO2003" localSheetId="4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4" hidden="1">{#N/A,#N/A,FALSE,"MO (2)"}</definedName>
    <definedName name="jhjhjhjju" hidden="1">{#N/A,#N/A,FALSE,"MO (2)"}</definedName>
    <definedName name="jjjjj" localSheetId="4" hidden="1">{#N/A,#N/A,FALSE,"MO (2)"}</definedName>
    <definedName name="jjjjj" hidden="1">{#N/A,#N/A,FALSE,"MO (2)"}</definedName>
    <definedName name="JJJJJL" hidden="1">{#N/A,#N/A,FALSE,"MO (2)"}</definedName>
    <definedName name="jo" localSheetId="4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4" hidden="1">{#N/A,#N/A,FALSE,"MO (2)"}</definedName>
    <definedName name="kkkkkk" hidden="1">{#N/A,#N/A,FALSE,"MO (2)"}</definedName>
    <definedName name="klklklkl" localSheetId="4" hidden="1">{#N/A,#N/A,FALSE,"MO (2)"}</definedName>
    <definedName name="klklklkl" hidden="1">{#N/A,#N/A,FALSE,"MO (2)"}</definedName>
    <definedName name="la" localSheetId="4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localSheetId="2" hidden="1">#REF!</definedName>
    <definedName name="LNNN" hidden="1">#REF!</definedName>
    <definedName name="Local" hidden="1">""</definedName>
    <definedName name="lu" localSheetId="4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2" hidden="1">COUNTIF(#REF!,"&lt;&gt;0")+3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localSheetId="4" hidden="1">{#N/A,#N/A,FALSE,"Plan1"}</definedName>
    <definedName name="melhoria" hidden="1">{#N/A,#N/A,FALSE,"Plan1"}</definedName>
    <definedName name="Mem.01" hidden="1">{"'Plan1 (2)'!$A$5:$F$63"}</definedName>
    <definedName name="mICRO" localSheetId="2" hidden="1">#REF!</definedName>
    <definedName name="mICRO" hidden="1">#REF!</definedName>
    <definedName name="MO" localSheetId="4" hidden="1">#REF!</definedName>
    <definedName name="MO" localSheetId="2" hidden="1">#REF!</definedName>
    <definedName name="MO" hidden="1">#REF!</definedName>
    <definedName name="Modelo" localSheetId="4" hidden="1">#REF!</definedName>
    <definedName name="Modelo" localSheetId="2" hidden="1">#REF!</definedName>
    <definedName name="Modelo" hidden="1">#REF!</definedName>
    <definedName name="MP" localSheetId="4" hidden="1">#REF!</definedName>
    <definedName name="MP" localSheetId="2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localSheetId="2" hidden="1">#REF!</definedName>
    <definedName name="okaaaaa" hidden="1">#REF!</definedName>
    <definedName name="OnOff" hidden="1">"ON"</definedName>
    <definedName name="OO" localSheetId="2" hidden="1">#REF!</definedName>
    <definedName name="OO" hidden="1">#REF!</definedName>
    <definedName name="Or.Mod." hidden="1">{#N/A,#N/A,FALSE,"MO (2)"}</definedName>
    <definedName name="orçamrest" localSheetId="4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4" hidden="1">#REF!</definedName>
    <definedName name="Ordem" localSheetId="2" hidden="1">#REF!</definedName>
    <definedName name="Ordem" hidden="1">#REF!</definedName>
    <definedName name="Origem" localSheetId="4" hidden="1">#REF!</definedName>
    <definedName name="Origem" localSheetId="2" hidden="1">#REF!</definedName>
    <definedName name="Origem" hidden="1">#REF!</definedName>
    <definedName name="outra" localSheetId="2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localSheetId="4" hidden="1">#REF!</definedName>
    <definedName name="Plan1" localSheetId="2" hidden="1">#REF!</definedName>
    <definedName name="Plan1" hidden="1">#REF!</definedName>
    <definedName name="planilha" localSheetId="4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4" hidden="1">{#N/A,#N/A,FALSE,"MO (2)"}</definedName>
    <definedName name="popopopo" hidden="1">{#N/A,#N/A,FALSE,"MO (2)"}</definedName>
    <definedName name="Posição" localSheetId="4" hidden="1">#REF!</definedName>
    <definedName name="Posição" localSheetId="2" hidden="1">#REF!</definedName>
    <definedName name="Posição" hidden="1">#REF!</definedName>
    <definedName name="Prd" hidden="1">#N/A</definedName>
    <definedName name="PrdAux" hidden="1">#N/A</definedName>
    <definedName name="PROD_1" localSheetId="4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localSheetId="4" hidden="1">#REF!</definedName>
    <definedName name="Q" localSheetId="2" hidden="1">#REF!</definedName>
    <definedName name="Q" hidden="1">#REF!</definedName>
    <definedName name="QD" localSheetId="4" hidden="1">#REF!</definedName>
    <definedName name="QD" localSheetId="2" hidden="1">#REF!</definedName>
    <definedName name="QD" hidden="1">#REF!</definedName>
    <definedName name="QQQQ" localSheetId="2" hidden="1">SUM(IF(#REF! =#REF!,(#REF!)*(#REF!="EQ")))</definedName>
    <definedName name="QQQQ" hidden="1">SUM(IF(#REF! =#REF!,(#REF!)*(#REF!="EQ")))</definedName>
    <definedName name="qqqqq" localSheetId="4" hidden="1">{#N/A,#N/A,FALSE,"MO (2)"}</definedName>
    <definedName name="qqqqq" hidden="1">{#N/A,#N/A,FALSE,"MO (2)"}</definedName>
    <definedName name="QTD" localSheetId="4" hidden="1">#REF!</definedName>
    <definedName name="QTD" localSheetId="2" hidden="1">#REF!</definedName>
    <definedName name="QTD" hidden="1">#REF!</definedName>
    <definedName name="QtEq" localSheetId="4" hidden="1">#REF!</definedName>
    <definedName name="QtEq" localSheetId="2" hidden="1">#REF!</definedName>
    <definedName name="QtEq" hidden="1">#REF!</definedName>
    <definedName name="QtMo" localSheetId="4" hidden="1">#REF!</definedName>
    <definedName name="QtMo" localSheetId="2" hidden="1">#REF!</definedName>
    <definedName name="QtMo" hidden="1">#REF!</definedName>
    <definedName name="QtMp" localSheetId="4" hidden="1">#REF!</definedName>
    <definedName name="QtMp" localSheetId="2" hidden="1">#REF!</definedName>
    <definedName name="QtMp" hidden="1">#REF!</definedName>
    <definedName name="QtTr" localSheetId="4" hidden="1">#REF!</definedName>
    <definedName name="QtTr" localSheetId="2" hidden="1">#REF!</definedName>
    <definedName name="QtTr" hidden="1">#REF!</definedName>
    <definedName name="reet" hidden="1">{#N/A,#N/A,TRUE,"Serviços"}</definedName>
    <definedName name="REFEITO" localSheetId="4" hidden="1">{#N/A,#N/A,FALSE,"Plan1"}</definedName>
    <definedName name="REFEITO" hidden="1">{#N/A,#N/A,FALSE,"Plan1"}</definedName>
    <definedName name="REL" localSheetId="4" hidden="1">{#N/A,#N/A,TRUE,"Serviços"}</definedName>
    <definedName name="REL" hidden="1">{#N/A,#N/A,TRUE,"Serviços"}</definedName>
    <definedName name="REL_1" hidden="1">{#N/A,#N/A,TRUE,"Serviços"}</definedName>
    <definedName name="Relat" localSheetId="4" hidden="1">#REF!</definedName>
    <definedName name="Relat" localSheetId="2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4" hidden="1">{#N/A,#N/A,FALSE,"MO (2)"}</definedName>
    <definedName name="resu" hidden="1">{#N/A,#N/A,FALSE,"MO (2)"}</definedName>
    <definedName name="resumoii" localSheetId="4" hidden="1">{#N/A,#N/A,FALSE,"MO (2)"}</definedName>
    <definedName name="resumoii" hidden="1">{#N/A,#N/A,FALSE,"MO (2)"}</definedName>
    <definedName name="resumou" localSheetId="4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4" hidden="1">{#N/A,#N/A,TRUE,"Serviços"}</definedName>
    <definedName name="rr" hidden="1">{#N/A,#N/A,TRUE,"Serviços"}</definedName>
    <definedName name="rrff" localSheetId="4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4" hidden="1">{#N/A,#N/A,FALSE,"MO (2)"}</definedName>
    <definedName name="salete" hidden="1">{#N/A,#N/A,FALSE,"MO (2)"}</definedName>
    <definedName name="salete.com" localSheetId="4" hidden="1">{#N/A,#N/A,FALSE,"MO (2)"}</definedName>
    <definedName name="salete.com" hidden="1">{#N/A,#N/A,FALSE,"MO (2)"}</definedName>
    <definedName name="SASA" localSheetId="4" hidden="1">{#N/A,#N/A,FALSE,"MO (2)"}</definedName>
    <definedName name="SASA" hidden="1">{#N/A,#N/A,FALSE,"MO (2)"}</definedName>
    <definedName name="sasa.com" localSheetId="4" hidden="1">{#N/A,#N/A,FALSE,"MO (2)"}</definedName>
    <definedName name="sasa.com" hidden="1">{#N/A,#N/A,FALSE,"MO (2)"}</definedName>
    <definedName name="sasaasa" localSheetId="4" hidden="1">{#N/A,#N/A,FALSE,"MO (2)"}</definedName>
    <definedName name="sasaasa" hidden="1">{#N/A,#N/A,FALSE,"MO (2)"}</definedName>
    <definedName name="SASADE" hidden="1">{#N/A,#N/A,FALSE,"MO (2)"}</definedName>
    <definedName name="SASASA" localSheetId="4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localSheetId="2" hidden="1">#REF!</definedName>
    <definedName name="SB" hidden="1">#REF!</definedName>
    <definedName name="sdsdsds" localSheetId="4" hidden="1">{#N/A,#N/A,FALSE,"MO (2)"}</definedName>
    <definedName name="sdsdsds" hidden="1">{#N/A,#N/A,FALSE,"MO (2)"}</definedName>
    <definedName name="sdsdsdsx" localSheetId="4" hidden="1">{#N/A,#N/A,FALSE,"MO (2)"}</definedName>
    <definedName name="sdsdsdsx" hidden="1">{#N/A,#N/A,FALSE,"MO (2)"}</definedName>
    <definedName name="SE" localSheetId="4" hidden="1">#REF!</definedName>
    <definedName name="SE" localSheetId="2" hidden="1">#REF!</definedName>
    <definedName name="SE" hidden="1">#REF!</definedName>
    <definedName name="sencount" hidden="1">1</definedName>
    <definedName name="SETEMBRO" localSheetId="4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localSheetId="4" hidden="1">#REF!</definedName>
    <definedName name="SRV" localSheetId="2" hidden="1">#REF!</definedName>
    <definedName name="SRV" hidden="1">#REF!</definedName>
    <definedName name="SS" localSheetId="4" hidden="1">{#N/A,#N/A,FALSE,"MO (2)"}</definedName>
    <definedName name="SS" hidden="1">{#N/A,#N/A,FALSE,"MO (2)"}</definedName>
    <definedName name="ssrs" hidden="1">{#N/A,#N/A,TRUE,"Serviços"}</definedName>
    <definedName name="SSS" localSheetId="4" hidden="1">{#N/A,#N/A,FALSE,"MO (2)"}</definedName>
    <definedName name="SSS" hidden="1">{#N/A,#N/A,FALSE,"MO (2)"}</definedName>
    <definedName name="SSS_1" hidden="1">{#N/A,#N/A,FALSE,"MO (2)"}</definedName>
    <definedName name="ssssss" localSheetId="4" hidden="1">{#N/A,#N/A,FALSE,"MO (2)"}</definedName>
    <definedName name="ssssss" hidden="1">{#N/A,#N/A,FALSE,"MO (2)"}</definedName>
    <definedName name="sssssssssssssssssssss" localSheetId="4" hidden="1">{#N/A,#N/A,TRUE,"Plan1"}</definedName>
    <definedName name="sssssssssssssssssssss" hidden="1">{#N/A,#N/A,TRUE,"Plan1"}</definedName>
    <definedName name="sssssssssssssssssssss_1" hidden="1">{#N/A,#N/A,TRUE,"Plan1"}</definedName>
    <definedName name="Subt" localSheetId="2" hidden="1">#REF!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4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4">TRANSPORTES!$1:$4</definedName>
    <definedName name="TOT" localSheetId="4" hidden="1">#REF!</definedName>
    <definedName name="TOT" localSheetId="2" hidden="1">#REF!</definedName>
    <definedName name="TOT" hidden="1">#REF!</definedName>
    <definedName name="Transporte_Brita_TSD" hidden="1">{#N/A,#N/A,TRUE,"Plan1"}</definedName>
    <definedName name="Trec" localSheetId="2" hidden="1">#REF!</definedName>
    <definedName name="Trec" hidden="1">#REF!</definedName>
    <definedName name="tttt" hidden="1">{#N/A,#N/A,FALSE,"MO (2)"}</definedName>
    <definedName name="TYUIO" localSheetId="4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4" hidden="1">{#N/A,#N/A,FALSE,"MO (2)"}</definedName>
    <definedName name="vm" hidden="1">{#N/A,#N/A,FALSE,"MO (2)"}</definedName>
    <definedName name="vvv" localSheetId="4" hidden="1">{#N/A,#N/A,FALSE,"MO (2)"}</definedName>
    <definedName name="vvv" hidden="1">{#N/A,#N/A,FALSE,"MO (2)"}</definedName>
    <definedName name="vvv_1" hidden="1">{#N/A,#N/A,FALSE,"MO (2)"}</definedName>
    <definedName name="wewewew" localSheetId="4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4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4" hidden="1">{#N/A,#N/A,TRUE,"Plan1"}</definedName>
    <definedName name="wrn.relext." hidden="1">{#N/A,#N/A,TRUE,"Plan1"}</definedName>
    <definedName name="wrn.relext._1" hidden="1">{#N/A,#N/A,TRUE,"Plan1"}</definedName>
    <definedName name="wrn.SBBE." localSheetId="4" hidden="1">{#N/A,#N/A,FALSE,"Plan1"}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4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4" hidden="1">{#N/A,#N/A,FALSE,"MO (2)"}</definedName>
    <definedName name="wwwww" hidden="1">{#N/A,#N/A,FALSE,"MO (2)"}</definedName>
    <definedName name="wwwwwb" hidden="1">{#N/A,#N/A,TRUE,"Serviços"}</definedName>
    <definedName name="wwwwww" localSheetId="4" hidden="1">{#N/A,#N/A,FALSE,"MO (2)"}</definedName>
    <definedName name="wwwwww" hidden="1">{#N/A,#N/A,FALSE,"MO (2)"}</definedName>
    <definedName name="xxxaa" hidden="1">{#N/A,#N/A,FALSE,"MO (2)"}</definedName>
    <definedName name="xxxxx" localSheetId="4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4" hidden="1">{#N/A,#N/A,FALSE,"MO (2)"}</definedName>
    <definedName name="z" hidden="1">{#N/A,#N/A,FALSE,"MO (2)"}</definedName>
    <definedName name="z_1" hidden="1">{#N/A,#N/A,FALSE,"MO (2)"}</definedName>
    <definedName name="zaza" localSheetId="4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157" l="1"/>
  <c r="P7" i="1157"/>
  <c r="M7" i="1157"/>
  <c r="L7" i="1157"/>
  <c r="C8" i="1159"/>
  <c r="E8" i="1159"/>
  <c r="E7" i="1159"/>
  <c r="H20" i="1157" l="1"/>
  <c r="H8" i="1157"/>
  <c r="V7" i="1157" s="1"/>
  <c r="H9" i="1157"/>
  <c r="H10" i="1157"/>
  <c r="H11" i="1157"/>
  <c r="H12" i="1157"/>
  <c r="H13" i="1157"/>
  <c r="H14" i="1157"/>
  <c r="H15" i="1157"/>
  <c r="H16" i="1157"/>
  <c r="H17" i="1157"/>
  <c r="H18" i="1157"/>
  <c r="H19" i="1157"/>
  <c r="H7" i="1157"/>
  <c r="C6" i="1157" l="1"/>
  <c r="R19" i="1157" l="1"/>
  <c r="R8" i="1157"/>
  <c r="R9" i="1157"/>
  <c r="R10" i="1157"/>
  <c r="R11" i="1157"/>
  <c r="R12" i="1157"/>
  <c r="R13" i="1157"/>
  <c r="R14" i="1157"/>
  <c r="R15" i="1157"/>
  <c r="R16" i="1157"/>
  <c r="R17" i="1157"/>
  <c r="R18" i="1157"/>
  <c r="R20" i="1157"/>
  <c r="R7" i="1157"/>
  <c r="N17" i="1157"/>
  <c r="H8" i="1098"/>
  <c r="H9" i="1098"/>
  <c r="H10" i="1098"/>
  <c r="H11" i="1098"/>
  <c r="H12" i="1098"/>
  <c r="H13" i="1098"/>
  <c r="H14" i="1098"/>
  <c r="H15" i="1098"/>
  <c r="H16" i="1098"/>
  <c r="H17" i="1098"/>
  <c r="H18" i="1098"/>
  <c r="H19" i="1098"/>
  <c r="H20" i="1098"/>
  <c r="H21" i="1098"/>
  <c r="H22" i="1098"/>
  <c r="H23" i="1098"/>
  <c r="H24" i="1098"/>
  <c r="H25" i="1098"/>
  <c r="H26" i="1098"/>
  <c r="H27" i="1098"/>
  <c r="H28" i="1098"/>
  <c r="H29" i="1098"/>
  <c r="H30" i="1098"/>
  <c r="H31" i="1098"/>
  <c r="H32" i="1098"/>
  <c r="H33" i="1098"/>
  <c r="H34" i="1098"/>
  <c r="H35" i="1098"/>
  <c r="H36" i="1098"/>
  <c r="H37" i="1098"/>
  <c r="H38" i="1098"/>
  <c r="H39" i="1098"/>
  <c r="H40" i="1098"/>
  <c r="H41" i="1098"/>
  <c r="H42" i="1098"/>
  <c r="H43" i="1098"/>
  <c r="H44" i="1098"/>
  <c r="H45" i="1098"/>
  <c r="H46" i="1098"/>
  <c r="H47" i="1098"/>
  <c r="H48" i="1098"/>
  <c r="H49" i="1098"/>
  <c r="H50" i="1098"/>
  <c r="H51" i="1098"/>
  <c r="H52" i="1098"/>
  <c r="H53" i="1098"/>
  <c r="H54" i="1098"/>
  <c r="H55" i="1098"/>
  <c r="H56" i="1098"/>
  <c r="H57" i="1098"/>
  <c r="H58" i="1098"/>
  <c r="H7" i="1098"/>
  <c r="N19" i="1157" l="1"/>
  <c r="M48" i="1098"/>
  <c r="N11" i="1157"/>
  <c r="N13" i="1157"/>
  <c r="J19" i="1157"/>
  <c r="J7" i="1157"/>
  <c r="J13" i="1157"/>
  <c r="J20" i="1157"/>
  <c r="M39" i="1098"/>
  <c r="M52" i="1098"/>
  <c r="M53" i="1098"/>
  <c r="F7" i="1159"/>
  <c r="J17" i="1157"/>
  <c r="S17" i="1157" s="1"/>
  <c r="J11" i="1157"/>
  <c r="F8" i="1159"/>
  <c r="S19" i="1157" l="1"/>
  <c r="S11" i="1157"/>
  <c r="S13" i="1157"/>
  <c r="N20" i="1157"/>
  <c r="O20" i="1157" s="1"/>
  <c r="M51" i="1098"/>
  <c r="S20" i="1157" l="1"/>
  <c r="R54" i="1098"/>
  <c r="R40" i="1098"/>
  <c r="R47" i="1098"/>
  <c r="R23" i="1098"/>
  <c r="R33" i="1098"/>
  <c r="R45" i="1098"/>
  <c r="R7" i="1098"/>
  <c r="R21" i="1098"/>
  <c r="R15" i="1098"/>
  <c r="R26" i="1098"/>
  <c r="R30" i="1098"/>
  <c r="K20" i="1157"/>
  <c r="R18" i="1098"/>
  <c r="R11" i="1098"/>
  <c r="N51" i="1098" l="1"/>
  <c r="N39" i="1098"/>
  <c r="N53" i="1098"/>
  <c r="N52" i="1098"/>
  <c r="N48" i="1098"/>
  <c r="R48" i="1098"/>
  <c r="R53" i="1098"/>
  <c r="R39" i="1098"/>
  <c r="S39" i="1098" s="1"/>
  <c r="R51" i="1098"/>
  <c r="S51" i="1098" s="1"/>
  <c r="R52" i="1098"/>
  <c r="S48" i="1098" l="1"/>
  <c r="S53" i="1098"/>
  <c r="S52" i="1098"/>
  <c r="R19" i="1098" l="1"/>
  <c r="R37" i="1098"/>
  <c r="R16" i="1098"/>
  <c r="R24" i="1098"/>
  <c r="R55" i="1098"/>
  <c r="R41" i="1098"/>
  <c r="R58" i="1098"/>
  <c r="R44" i="1098"/>
  <c r="R10" i="1098"/>
  <c r="R14" i="1098"/>
  <c r="R27" i="1098"/>
  <c r="R29" i="1098"/>
  <c r="R49" i="1098"/>
  <c r="R13" i="1098"/>
  <c r="R22" i="1098"/>
  <c r="R17" i="1098"/>
  <c r="R32" i="1098"/>
  <c r="R35" i="1098"/>
  <c r="R25" i="1098"/>
  <c r="R20" i="1098"/>
  <c r="R9" i="1098"/>
  <c r="R46" i="1098"/>
  <c r="R43" i="1098"/>
  <c r="R57" i="1098"/>
  <c r="R34" i="1098"/>
  <c r="R31" i="1098"/>
  <c r="R12" i="1098"/>
  <c r="R8" i="1098"/>
  <c r="R28" i="1098"/>
  <c r="N49" i="1098"/>
  <c r="N9" i="1157"/>
  <c r="N36" i="1098"/>
  <c r="R36" i="1098"/>
  <c r="N47" i="1098"/>
  <c r="N8" i="1157"/>
  <c r="R42" i="1098"/>
  <c r="R56" i="1098"/>
  <c r="N7" i="1157"/>
  <c r="S7" i="1157" s="1"/>
  <c r="R38" i="1098"/>
  <c r="R50" i="1098"/>
  <c r="N33" i="1098" l="1"/>
  <c r="N45" i="1098"/>
  <c r="N23" i="1098"/>
  <c r="N26" i="1098"/>
  <c r="N21" i="1098"/>
  <c r="N7" i="1098"/>
  <c r="N11" i="1098"/>
  <c r="N30" i="1098"/>
  <c r="N15" i="1098"/>
  <c r="N18" i="1098"/>
  <c r="N42" i="1098"/>
  <c r="N56" i="1098"/>
  <c r="N29" i="1098"/>
  <c r="N10" i="1098"/>
  <c r="N14" i="1098"/>
  <c r="N27" i="1098"/>
  <c r="N28" i="1098"/>
  <c r="N13" i="1098"/>
  <c r="N32" i="1098"/>
  <c r="N25" i="1098"/>
  <c r="N17" i="1098"/>
  <c r="N46" i="1098"/>
  <c r="N22" i="1098"/>
  <c r="N20" i="1098"/>
  <c r="N35" i="1098"/>
  <c r="N9" i="1098"/>
  <c r="N24" i="1098"/>
  <c r="N31" i="1098"/>
  <c r="N34" i="1098"/>
  <c r="N19" i="1098"/>
  <c r="N12" i="1098"/>
  <c r="N37" i="1098"/>
  <c r="N8" i="1098"/>
  <c r="N16" i="1098"/>
  <c r="N43" i="1098"/>
  <c r="N57" i="1098"/>
  <c r="N44" i="1098"/>
  <c r="N58" i="1098"/>
  <c r="N38" i="1098"/>
  <c r="N50" i="1098"/>
  <c r="N54" i="1098"/>
  <c r="N40" i="1098"/>
  <c r="N55" i="1098"/>
  <c r="N41" i="1098"/>
  <c r="O9" i="1157"/>
  <c r="M21" i="1098"/>
  <c r="S21" i="1098" s="1"/>
  <c r="M47" i="1098"/>
  <c r="K13" i="1157"/>
  <c r="O13" i="1157"/>
  <c r="M58" i="1098"/>
  <c r="S58" i="1098" s="1"/>
  <c r="O7" i="1157"/>
  <c r="M41" i="1098"/>
  <c r="S41" i="1098" s="1"/>
  <c r="M30" i="1098"/>
  <c r="S30" i="1098" s="1"/>
  <c r="O17" i="1157"/>
  <c r="K17" i="1157"/>
  <c r="M42" i="1098"/>
  <c r="S42" i="1098" s="1"/>
  <c r="M44" i="1098"/>
  <c r="S44" i="1098" s="1"/>
  <c r="M54" i="1098"/>
  <c r="S54" i="1098" s="1"/>
  <c r="M57" i="1098"/>
  <c r="S57" i="1098" s="1"/>
  <c r="M55" i="1098"/>
  <c r="S55" i="1098" s="1"/>
  <c r="K19" i="1157"/>
  <c r="O19" i="1157"/>
  <c r="J8" i="1157"/>
  <c r="S8" i="1157" s="1"/>
  <c r="M26" i="1098"/>
  <c r="S26" i="1098" s="1"/>
  <c r="K7" i="1157"/>
  <c r="M40" i="1098"/>
  <c r="M56" i="1098"/>
  <c r="S56" i="1098" s="1"/>
  <c r="M45" i="1098"/>
  <c r="S45" i="1098" s="1"/>
  <c r="O11" i="1157"/>
  <c r="K11" i="1157"/>
  <c r="J9" i="1157"/>
  <c r="S9" i="1157" s="1"/>
  <c r="M43" i="1098"/>
  <c r="S43" i="1098" s="1"/>
  <c r="O8" i="1157"/>
  <c r="M7" i="1098"/>
  <c r="S7" i="1098" s="1"/>
  <c r="M15" i="1098" l="1"/>
  <c r="S15" i="1098" s="1"/>
  <c r="M33" i="1098"/>
  <c r="S33" i="1098" s="1"/>
  <c r="S47" i="1098"/>
  <c r="K8" i="1157"/>
  <c r="K9" i="1157"/>
  <c r="M18" i="1098"/>
  <c r="S18" i="1098" s="1"/>
  <c r="M11" i="1098"/>
  <c r="S11" i="1098" s="1"/>
  <c r="M23" i="1098"/>
  <c r="S23" i="1098" s="1"/>
  <c r="S40" i="1098"/>
  <c r="I101" i="572" l="1"/>
  <c r="H101" i="572"/>
  <c r="D85" i="572"/>
  <c r="D84" i="572"/>
  <c r="D83" i="572"/>
  <c r="D82" i="572"/>
  <c r="D81" i="572"/>
  <c r="C85" i="572"/>
  <c r="C84" i="572"/>
  <c r="C83" i="572"/>
  <c r="C82" i="572"/>
  <c r="C81" i="572"/>
  <c r="C37" i="572" l="1"/>
  <c r="D37" i="572"/>
  <c r="C38" i="572"/>
  <c r="D38" i="572"/>
  <c r="C39" i="572"/>
  <c r="D39" i="572"/>
  <c r="C42" i="572"/>
  <c r="D42" i="572"/>
  <c r="C43" i="572"/>
  <c r="D43" i="572"/>
  <c r="C44" i="572"/>
  <c r="D44" i="572"/>
  <c r="C45" i="572" l="1"/>
  <c r="D45" i="572"/>
  <c r="C12" i="572" l="1"/>
  <c r="D12" i="572"/>
  <c r="H29" i="571" l="1"/>
  <c r="E109" i="572" l="1"/>
  <c r="F109" i="572"/>
  <c r="F110" i="572" l="1"/>
  <c r="E110" i="572"/>
  <c r="C4" i="572" l="1"/>
  <c r="D4" i="572"/>
  <c r="C5" i="572"/>
  <c r="D5" i="572"/>
  <c r="C6" i="572"/>
  <c r="D6" i="572"/>
  <c r="C7" i="572"/>
  <c r="D7" i="572"/>
  <c r="C8" i="572"/>
  <c r="D8" i="572"/>
  <c r="C9" i="572"/>
  <c r="D9" i="572"/>
  <c r="C10" i="572"/>
  <c r="D10" i="572"/>
  <c r="C11" i="572"/>
  <c r="D11" i="572"/>
  <c r="C13" i="572"/>
  <c r="D13" i="572"/>
  <c r="C14" i="572"/>
  <c r="D14" i="572"/>
  <c r="C15" i="572"/>
  <c r="D15" i="572"/>
  <c r="C16" i="572"/>
  <c r="D16" i="572"/>
  <c r="C17" i="572"/>
  <c r="D17" i="572"/>
  <c r="C18" i="572"/>
  <c r="D18" i="572"/>
  <c r="C19" i="572"/>
  <c r="D19" i="572"/>
  <c r="C20" i="572"/>
  <c r="D20" i="572"/>
  <c r="C21" i="572"/>
  <c r="D21" i="572"/>
  <c r="C22" i="572"/>
  <c r="D22" i="572"/>
  <c r="C23" i="572"/>
  <c r="D23" i="572"/>
  <c r="C24" i="572"/>
  <c r="D24" i="572"/>
  <c r="C25" i="572"/>
  <c r="D25" i="572"/>
  <c r="C26" i="572"/>
  <c r="D26" i="572"/>
  <c r="C27" i="572"/>
  <c r="D27" i="572"/>
  <c r="C28" i="572"/>
  <c r="D28" i="572"/>
  <c r="C29" i="572"/>
  <c r="D29" i="572"/>
  <c r="C30" i="572"/>
  <c r="D30" i="572"/>
  <c r="C31" i="572"/>
  <c r="D31" i="572"/>
  <c r="C32" i="572"/>
  <c r="D32" i="572"/>
  <c r="C33" i="572"/>
  <c r="D33" i="572"/>
  <c r="C34" i="572"/>
  <c r="D34" i="572"/>
  <c r="C35" i="572"/>
  <c r="D35" i="572"/>
  <c r="C36" i="572"/>
  <c r="D36" i="572"/>
  <c r="C40" i="572"/>
  <c r="D40" i="572"/>
  <c r="C41" i="572"/>
  <c r="D41" i="572"/>
  <c r="C46" i="572"/>
  <c r="D46" i="572"/>
  <c r="C47" i="572"/>
  <c r="D47" i="572"/>
  <c r="C48" i="572"/>
  <c r="D48" i="572"/>
  <c r="C49" i="572"/>
  <c r="D49" i="572"/>
  <c r="C50" i="572"/>
  <c r="D50" i="572"/>
  <c r="C51" i="572"/>
  <c r="D51" i="572"/>
  <c r="C52" i="572"/>
  <c r="D52" i="572"/>
  <c r="C53" i="572"/>
  <c r="D53" i="572"/>
  <c r="C54" i="572"/>
  <c r="D54" i="572"/>
  <c r="C55" i="572"/>
  <c r="D55" i="572"/>
  <c r="C56" i="572"/>
  <c r="D56" i="572"/>
  <c r="C57" i="572"/>
  <c r="D57" i="572"/>
  <c r="C58" i="572"/>
  <c r="D58" i="572"/>
  <c r="C59" i="572"/>
  <c r="D59" i="572"/>
  <c r="C60" i="572"/>
  <c r="D60" i="572"/>
  <c r="C61" i="572"/>
  <c r="D61" i="572"/>
  <c r="C62" i="572"/>
  <c r="D62" i="572"/>
  <c r="C63" i="572"/>
  <c r="D63" i="572"/>
  <c r="C64" i="572"/>
  <c r="D64" i="572"/>
  <c r="C65" i="572"/>
  <c r="D65" i="572"/>
  <c r="C66" i="572"/>
  <c r="D66" i="572"/>
  <c r="C67" i="572"/>
  <c r="D67" i="572"/>
  <c r="C68" i="572"/>
  <c r="D68" i="572"/>
  <c r="C69" i="572"/>
  <c r="D69" i="572"/>
  <c r="C70" i="572"/>
  <c r="D70" i="572"/>
  <c r="C71" i="572"/>
  <c r="D71" i="572"/>
  <c r="C72" i="572"/>
  <c r="D72" i="572"/>
  <c r="C88" i="572"/>
  <c r="D88" i="572"/>
  <c r="C89" i="572"/>
  <c r="D89" i="572"/>
  <c r="C90" i="572"/>
  <c r="D90" i="572"/>
  <c r="C91" i="572"/>
  <c r="D91" i="572"/>
  <c r="C92" i="572"/>
  <c r="D92" i="572"/>
  <c r="C93" i="572"/>
  <c r="D93" i="572"/>
  <c r="C94" i="572"/>
  <c r="D94" i="572"/>
  <c r="C95" i="572"/>
  <c r="D95" i="572"/>
  <c r="C73" i="572"/>
  <c r="D73" i="572"/>
  <c r="C74" i="572"/>
  <c r="D74" i="572"/>
  <c r="C75" i="572"/>
  <c r="D75" i="572"/>
  <c r="C76" i="572"/>
  <c r="D76" i="572"/>
  <c r="C77" i="572"/>
  <c r="D77" i="572"/>
  <c r="C78" i="572"/>
  <c r="D78" i="572"/>
  <c r="D98" i="572" l="1"/>
  <c r="C98" i="572"/>
  <c r="D3" i="572"/>
  <c r="C3" i="572"/>
  <c r="H119" i="572"/>
  <c r="I119" i="572"/>
  <c r="H114" i="572"/>
  <c r="I114" i="572"/>
  <c r="H98" i="572"/>
  <c r="I98" i="572"/>
  <c r="H111" i="572"/>
  <c r="I111" i="572"/>
  <c r="I108" i="572"/>
  <c r="H108" i="572"/>
  <c r="H109" i="572"/>
  <c r="I109" i="572"/>
  <c r="H110" i="572"/>
  <c r="I110" i="572"/>
  <c r="H118" i="572"/>
  <c r="I118" i="572"/>
  <c r="H120" i="572"/>
  <c r="I120" i="572"/>
  <c r="H121" i="572"/>
  <c r="I121" i="572"/>
  <c r="H122" i="572"/>
  <c r="I122" i="572"/>
  <c r="H123" i="572"/>
  <c r="I123" i="572"/>
  <c r="I115" i="572"/>
  <c r="I116" i="572"/>
  <c r="I117" i="572"/>
  <c r="I106" i="572"/>
  <c r="I107" i="572"/>
  <c r="H115" i="572"/>
  <c r="H116" i="572"/>
  <c r="H117" i="572"/>
  <c r="H106" i="572"/>
  <c r="H107" i="572"/>
  <c r="I103" i="572" l="1"/>
  <c r="I102" i="572"/>
  <c r="I83" i="572"/>
  <c r="I85" i="572"/>
  <c r="I84" i="572"/>
  <c r="I82" i="572"/>
  <c r="I81" i="572"/>
  <c r="I44" i="572"/>
  <c r="I39" i="572"/>
  <c r="I43" i="572"/>
  <c r="I37" i="572"/>
  <c r="I38" i="572"/>
  <c r="I42" i="572"/>
  <c r="I45" i="572"/>
  <c r="H103" i="572"/>
  <c r="H102" i="572"/>
  <c r="H48" i="571"/>
  <c r="H63" i="571"/>
  <c r="H39" i="571"/>
  <c r="H38" i="571"/>
  <c r="H37" i="571"/>
  <c r="H27" i="571"/>
  <c r="H46" i="571"/>
  <c r="H47" i="571"/>
  <c r="H43" i="571"/>
  <c r="H83" i="572"/>
  <c r="H81" i="572"/>
  <c r="H85" i="572"/>
  <c r="H84" i="572"/>
  <c r="H82" i="572"/>
  <c r="H42" i="572"/>
  <c r="H43" i="572"/>
  <c r="H39" i="572"/>
  <c r="H37" i="572"/>
  <c r="H44" i="572"/>
  <c r="H38" i="572"/>
  <c r="H45" i="572"/>
  <c r="I12" i="572"/>
  <c r="H31" i="571"/>
  <c r="H12" i="572"/>
  <c r="E108" i="572"/>
  <c r="F108" i="572"/>
  <c r="H60" i="571"/>
  <c r="H33" i="571"/>
  <c r="H15" i="571"/>
  <c r="H12" i="571"/>
  <c r="H13" i="571"/>
  <c r="H14" i="571"/>
  <c r="H41" i="571"/>
  <c r="H42" i="571"/>
  <c r="H59" i="571"/>
  <c r="H45" i="571"/>
  <c r="H44" i="571"/>
  <c r="H32" i="571"/>
  <c r="H23" i="571"/>
  <c r="H22" i="571"/>
  <c r="H8" i="571"/>
  <c r="H9" i="571"/>
  <c r="H10" i="571"/>
  <c r="H11" i="571"/>
  <c r="H65" i="571"/>
  <c r="H62" i="571"/>
  <c r="H30" i="571"/>
  <c r="H19" i="571"/>
  <c r="H20" i="571"/>
  <c r="H21" i="571"/>
  <c r="H66" i="571"/>
  <c r="H16" i="571"/>
  <c r="H17" i="571"/>
  <c r="H18" i="571"/>
  <c r="H3" i="572"/>
  <c r="I3" i="572"/>
  <c r="I10" i="572"/>
  <c r="I19" i="572"/>
  <c r="I27" i="572"/>
  <c r="I33" i="572"/>
  <c r="I46" i="572"/>
  <c r="I54" i="572"/>
  <c r="I62" i="572"/>
  <c r="I70" i="572"/>
  <c r="I93" i="572"/>
  <c r="I77" i="572"/>
  <c r="I34" i="572"/>
  <c r="I7" i="572"/>
  <c r="I16" i="572"/>
  <c r="I21" i="572"/>
  <c r="I24" i="572"/>
  <c r="I31" i="572"/>
  <c r="I41" i="572"/>
  <c r="I51" i="572"/>
  <c r="I59" i="572"/>
  <c r="I67" i="572"/>
  <c r="I90" i="572"/>
  <c r="I75" i="572"/>
  <c r="I78" i="572"/>
  <c r="I4" i="572"/>
  <c r="I13" i="572"/>
  <c r="I35" i="572"/>
  <c r="I48" i="572"/>
  <c r="I56" i="572"/>
  <c r="I64" i="572"/>
  <c r="I72" i="572"/>
  <c r="I95" i="572"/>
  <c r="I94" i="572"/>
  <c r="I29" i="572"/>
  <c r="I65" i="572"/>
  <c r="I9" i="572"/>
  <c r="I18" i="572"/>
  <c r="I22" i="572"/>
  <c r="I26" i="572"/>
  <c r="I32" i="572"/>
  <c r="I53" i="572"/>
  <c r="I61" i="572"/>
  <c r="I69" i="572"/>
  <c r="I92" i="572"/>
  <c r="I66" i="572"/>
  <c r="I36" i="572"/>
  <c r="I6" i="572"/>
  <c r="I15" i="572"/>
  <c r="I20" i="572"/>
  <c r="I23" i="572"/>
  <c r="I30" i="572"/>
  <c r="I40" i="572"/>
  <c r="I50" i="572"/>
  <c r="I58" i="572"/>
  <c r="I89" i="572"/>
  <c r="I74" i="572"/>
  <c r="I47" i="572"/>
  <c r="I76" i="572"/>
  <c r="I14" i="572"/>
  <c r="I57" i="572"/>
  <c r="I73" i="572"/>
  <c r="I11" i="572"/>
  <c r="I28" i="572"/>
  <c r="I55" i="572"/>
  <c r="I63" i="572"/>
  <c r="I71" i="572"/>
  <c r="I5" i="572"/>
  <c r="I88" i="572"/>
  <c r="I8" i="572"/>
  <c r="I17" i="572"/>
  <c r="I25" i="572"/>
  <c r="I52" i="572"/>
  <c r="I60" i="572"/>
  <c r="I68" i="572"/>
  <c r="I91" i="572"/>
  <c r="I49" i="572"/>
  <c r="H25" i="572"/>
  <c r="H29" i="572"/>
  <c r="H49" i="572"/>
  <c r="H60" i="572"/>
  <c r="H65" i="572"/>
  <c r="H91" i="572"/>
  <c r="H73" i="572"/>
  <c r="H33" i="572"/>
  <c r="H78" i="572"/>
  <c r="H31" i="572"/>
  <c r="H51" i="572"/>
  <c r="H67" i="572"/>
  <c r="H75" i="572"/>
  <c r="H4" i="572"/>
  <c r="H17" i="572"/>
  <c r="H30" i="572"/>
  <c r="H50" i="572"/>
  <c r="H66" i="572"/>
  <c r="H74" i="572"/>
  <c r="H9" i="572"/>
  <c r="H16" i="572"/>
  <c r="H48" i="572"/>
  <c r="H54" i="572"/>
  <c r="H64" i="572"/>
  <c r="H70" i="572"/>
  <c r="H95" i="572"/>
  <c r="H8" i="572"/>
  <c r="H15" i="572"/>
  <c r="H22" i="572"/>
  <c r="H24" i="572"/>
  <c r="H41" i="572"/>
  <c r="H59" i="572"/>
  <c r="H90" i="572"/>
  <c r="H14" i="572"/>
  <c r="H23" i="572"/>
  <c r="H28" i="572"/>
  <c r="H32" i="572"/>
  <c r="H40" i="572"/>
  <c r="H47" i="572"/>
  <c r="H53" i="572"/>
  <c r="H58" i="572"/>
  <c r="H63" i="572"/>
  <c r="H69" i="572"/>
  <c r="H89" i="572"/>
  <c r="H94" i="572"/>
  <c r="H77" i="572"/>
  <c r="H36" i="572"/>
  <c r="H52" i="572"/>
  <c r="H57" i="572"/>
  <c r="H68" i="572"/>
  <c r="H88" i="572"/>
  <c r="H27" i="572"/>
  <c r="H35" i="572"/>
  <c r="H46" i="572"/>
  <c r="H56" i="572"/>
  <c r="H62" i="572"/>
  <c r="H72" i="572"/>
  <c r="H93" i="572"/>
  <c r="H5" i="572"/>
  <c r="H18" i="572"/>
  <c r="H20" i="572"/>
  <c r="H7" i="572"/>
  <c r="H13" i="572"/>
  <c r="H19" i="572"/>
  <c r="H6" i="572"/>
  <c r="H11" i="572"/>
  <c r="H21" i="572"/>
  <c r="H10" i="572"/>
  <c r="H26" i="572"/>
  <c r="H34" i="572"/>
  <c r="H55" i="572"/>
  <c r="H61" i="572"/>
  <c r="H71" i="572"/>
  <c r="H92" i="572"/>
  <c r="H76" i="572"/>
  <c r="H61" i="571"/>
  <c r="H34" i="571" l="1"/>
  <c r="H36" i="571"/>
  <c r="H35" i="571"/>
  <c r="H28" i="571"/>
  <c r="H24" i="571"/>
  <c r="H25" i="571"/>
  <c r="H26" i="571"/>
  <c r="H40" i="571"/>
  <c r="H64" i="571"/>
  <c r="N14" i="1157" l="1"/>
  <c r="S14" i="1157" s="1"/>
  <c r="N12" i="1157"/>
  <c r="S12" i="1157" s="1"/>
  <c r="N15" i="1157"/>
  <c r="S15" i="1157" s="1"/>
  <c r="N16" i="1157"/>
  <c r="S16" i="1157" s="1"/>
  <c r="N18" i="1157"/>
  <c r="S18" i="1157" s="1"/>
  <c r="N10" i="1157"/>
  <c r="S10" i="1157" s="1"/>
  <c r="K15" i="1157" l="1"/>
  <c r="M37" i="1098"/>
  <c r="M24" i="1098"/>
  <c r="S24" i="1098" s="1"/>
  <c r="K10" i="1157"/>
  <c r="O15" i="1157"/>
  <c r="O10" i="1157"/>
  <c r="M9" i="1098"/>
  <c r="S9" i="1098" s="1"/>
  <c r="M14" i="1098"/>
  <c r="S14" i="1098" s="1"/>
  <c r="M12" i="1098"/>
  <c r="S12" i="1098" s="1"/>
  <c r="M19" i="1098"/>
  <c r="S19" i="1098" s="1"/>
  <c r="M27" i="1098"/>
  <c r="S27" i="1098" s="1"/>
  <c r="M34" i="1098"/>
  <c r="S34" i="1098" s="1"/>
  <c r="K18" i="1157"/>
  <c r="K12" i="1157"/>
  <c r="O12" i="1157"/>
  <c r="M36" i="1098"/>
  <c r="M10" i="1098"/>
  <c r="S10" i="1098" s="1"/>
  <c r="O18" i="1157"/>
  <c r="M38" i="1098"/>
  <c r="M49" i="1098"/>
  <c r="M29" i="1098"/>
  <c r="S29" i="1098" s="1"/>
  <c r="M20" i="1098"/>
  <c r="S20" i="1098" s="1"/>
  <c r="K14" i="1157"/>
  <c r="K16" i="1157"/>
  <c r="M13" i="1098"/>
  <c r="S13" i="1098" s="1"/>
  <c r="M32" i="1098"/>
  <c r="S32" i="1098" s="1"/>
  <c r="O14" i="1157"/>
  <c r="O16" i="1157"/>
  <c r="M16" i="1098"/>
  <c r="S16" i="1098" s="1"/>
  <c r="M25" i="1098"/>
  <c r="S25" i="1098" s="1"/>
  <c r="M50" i="1098"/>
  <c r="M17" i="1098"/>
  <c r="S17" i="1098" s="1"/>
  <c r="M28" i="1098"/>
  <c r="S28" i="1098" s="1"/>
  <c r="M35" i="1098"/>
  <c r="S35" i="1098" s="1"/>
  <c r="M31" i="1098"/>
  <c r="S31" i="1098" s="1"/>
  <c r="M8" i="1098"/>
  <c r="S8" i="1098" s="1"/>
  <c r="M22" i="1098"/>
  <c r="S22" i="1098" s="1"/>
  <c r="M46" i="1098"/>
  <c r="S46" i="1098" s="1"/>
  <c r="S36" i="1098" l="1"/>
  <c r="S49" i="1098"/>
  <c r="S38" i="1098"/>
  <c r="S50" i="1098"/>
  <c r="S37" i="1098"/>
  <c r="E119" i="572" l="1"/>
  <c r="E114" i="572"/>
  <c r="F114" i="572"/>
  <c r="F119" i="572"/>
  <c r="E115" i="572"/>
  <c r="E120" i="572"/>
  <c r="F107" i="572"/>
  <c r="E107" i="572"/>
  <c r="F120" i="572" l="1"/>
  <c r="F115" i="572"/>
  <c r="E117" i="572" l="1"/>
  <c r="E121" i="572"/>
  <c r="E116" i="572"/>
  <c r="E122" i="572" l="1"/>
  <c r="E123" i="572"/>
  <c r="F121" i="572"/>
  <c r="F116" i="572"/>
  <c r="F117" i="572"/>
  <c r="E118" i="572" l="1"/>
  <c r="F122" i="572"/>
  <c r="F123" i="572"/>
  <c r="F118" i="572" l="1"/>
  <c r="F111" i="572" l="1"/>
  <c r="E111" i="572"/>
  <c r="I31" i="571" l="1"/>
  <c r="O31" i="571" s="1"/>
  <c r="I32" i="571"/>
  <c r="O32" i="571" s="1"/>
  <c r="I15" i="571"/>
  <c r="O15" i="571" s="1"/>
  <c r="I58" i="571" l="1"/>
  <c r="O58" i="571" s="1"/>
  <c r="I57" i="571"/>
  <c r="O57" i="571" s="1"/>
  <c r="I29" i="571"/>
  <c r="O29" i="571" s="1"/>
  <c r="I38" i="571"/>
  <c r="O38" i="571" s="1"/>
  <c r="I39" i="571"/>
  <c r="O39" i="571" s="1"/>
  <c r="I51" i="571"/>
  <c r="O51" i="571" s="1"/>
  <c r="I50" i="571"/>
  <c r="O50" i="571" s="1"/>
  <c r="I56" i="571"/>
  <c r="O56" i="571" s="1"/>
  <c r="I46" i="571"/>
  <c r="O46" i="571" s="1"/>
  <c r="I47" i="571"/>
  <c r="O47" i="571" s="1"/>
  <c r="I52" i="571"/>
  <c r="O52" i="571" s="1"/>
  <c r="I55" i="571"/>
  <c r="O55" i="571" s="1"/>
  <c r="I37" i="571"/>
  <c r="O37" i="571" s="1"/>
  <c r="I30" i="571"/>
  <c r="O30" i="571" s="1"/>
  <c r="I59" i="571"/>
  <c r="O59" i="571" s="1"/>
  <c r="I34" i="571"/>
  <c r="O34" i="571" s="1"/>
  <c r="I36" i="571"/>
  <c r="O36" i="571" s="1"/>
  <c r="I35" i="571"/>
  <c r="O35" i="571" s="1"/>
  <c r="I65" i="571"/>
  <c r="O65" i="571" s="1"/>
  <c r="I18" i="571"/>
  <c r="O18" i="571" s="1"/>
  <c r="I53" i="571"/>
  <c r="O53" i="571" s="1"/>
  <c r="I10" i="571"/>
  <c r="O10" i="571" s="1"/>
  <c r="I66" i="571"/>
  <c r="O66" i="571" s="1"/>
  <c r="I11" i="571"/>
  <c r="O11" i="571" s="1"/>
  <c r="I40" i="571"/>
  <c r="O40" i="571" s="1"/>
  <c r="I61" i="571"/>
  <c r="O61" i="571" s="1"/>
  <c r="I9" i="571"/>
  <c r="O9" i="571" s="1"/>
  <c r="I25" i="571"/>
  <c r="O25" i="571" s="1"/>
  <c r="I64" i="571"/>
  <c r="O64" i="571" s="1"/>
  <c r="I62" i="571"/>
  <c r="O62" i="571" s="1"/>
  <c r="I41" i="571"/>
  <c r="O41" i="571" s="1"/>
  <c r="I49" i="571"/>
  <c r="O49" i="571" s="1"/>
  <c r="I48" i="571"/>
  <c r="O48" i="571" s="1"/>
  <c r="I23" i="571"/>
  <c r="O23" i="571" s="1"/>
  <c r="I63" i="571"/>
  <c r="O63" i="571" s="1"/>
  <c r="I45" i="571"/>
  <c r="O45" i="571" s="1"/>
  <c r="I14" i="571"/>
  <c r="O14" i="571" s="1"/>
  <c r="I54" i="571"/>
  <c r="O54" i="571" s="1"/>
  <c r="I43" i="571"/>
  <c r="O43" i="571" s="1"/>
  <c r="I60" i="571"/>
  <c r="O60" i="571" s="1"/>
  <c r="I44" i="571"/>
  <c r="O44" i="571" s="1"/>
  <c r="I8" i="571"/>
  <c r="O8" i="571" s="1"/>
  <c r="I16" i="571"/>
  <c r="O16" i="571" s="1"/>
  <c r="I42" i="571"/>
  <c r="O42" i="571" s="1"/>
  <c r="I17" i="571"/>
  <c r="O17" i="571" s="1"/>
  <c r="I28" i="571"/>
  <c r="O28" i="571" s="1"/>
  <c r="I22" i="571"/>
  <c r="O22" i="571" s="1"/>
  <c r="I26" i="571"/>
  <c r="O26" i="571" s="1"/>
  <c r="I24" i="571"/>
  <c r="O24" i="571" s="1"/>
  <c r="I33" i="571"/>
  <c r="O33" i="571" s="1"/>
  <c r="I12" i="571"/>
  <c r="O12" i="571" s="1"/>
  <c r="I27" i="571"/>
  <c r="O27" i="571" s="1"/>
  <c r="I13" i="571"/>
  <c r="O13" i="571" s="1"/>
  <c r="I20" i="571" l="1"/>
  <c r="O20" i="571" s="1"/>
  <c r="I19" i="571"/>
  <c r="O19" i="571" s="1"/>
  <c r="I21" i="571"/>
  <c r="O21" i="571" s="1"/>
  <c r="O68" i="571" l="1"/>
  <c r="F106" i="572" l="1"/>
  <c r="E106" i="572" l="1"/>
</calcChain>
</file>

<file path=xl/sharedStrings.xml><?xml version="1.0" encoding="utf-8"?>
<sst xmlns="http://schemas.openxmlformats.org/spreadsheetml/2006/main" count="193" uniqueCount="122">
  <si>
    <t>CÓDIGO</t>
  </si>
  <si>
    <t>DISCRIMINAÇÃO</t>
  </si>
  <si>
    <t>UNID.</t>
  </si>
  <si>
    <t>TRABALHO</t>
  </si>
  <si>
    <t>MATERIAL</t>
  </si>
  <si>
    <t>DMT</t>
  </si>
  <si>
    <t>(km)</t>
  </si>
  <si>
    <t>m³</t>
  </si>
  <si>
    <t>mês</t>
  </si>
  <si>
    <t>%</t>
  </si>
  <si>
    <t>tkm</t>
  </si>
  <si>
    <t>un</t>
  </si>
  <si>
    <t>ADMINISTRAÇÃO LOCAL</t>
  </si>
  <si>
    <t>ADM</t>
  </si>
  <si>
    <t>CAN</t>
  </si>
  <si>
    <t>MOB</t>
  </si>
  <si>
    <t>TRANSPORTES</t>
  </si>
  <si>
    <t>KM</t>
  </si>
  <si>
    <t>AM1943</t>
  </si>
  <si>
    <t>TM1943</t>
  </si>
  <si>
    <t>AM1946</t>
  </si>
  <si>
    <t>TM1946</t>
  </si>
  <si>
    <t>AQUISIÇÃO DE EMULSÃO ASFÁLTICA RR-1C</t>
  </si>
  <si>
    <t>TRANSPORTE DE EMULSÃO ASFÁLTICA RR-1C</t>
  </si>
  <si>
    <t>AM1950</t>
  </si>
  <si>
    <t>TM1950</t>
  </si>
  <si>
    <t>FIT</t>
  </si>
  <si>
    <t>TOTAL:</t>
  </si>
  <si>
    <t>t</t>
  </si>
  <si>
    <t>01</t>
  </si>
  <si>
    <t>02</t>
  </si>
  <si>
    <t>t/t</t>
  </si>
  <si>
    <t>DESCRIÇÃO</t>
  </si>
  <si>
    <t>SERVIÇO</t>
  </si>
  <si>
    <t>QUANT. ANUAL</t>
  </si>
  <si>
    <t>F. UTILIZAÇÃO</t>
  </si>
  <si>
    <t>PESO</t>
  </si>
  <si>
    <t>REFERÊNCIA</t>
  </si>
  <si>
    <t>MOMENTO</t>
  </si>
  <si>
    <t>FATOR</t>
  </si>
  <si>
    <t>UND.</t>
  </si>
  <si>
    <t>(t)</t>
  </si>
  <si>
    <t>Origem</t>
  </si>
  <si>
    <t>Destino</t>
  </si>
  <si>
    <t>TRANSP.(tkm)</t>
  </si>
  <si>
    <t>AM3900</t>
  </si>
  <si>
    <t>TM3900</t>
  </si>
  <si>
    <t>AQUISIÇÃO DE EMULSÃO ASFÁLTICA RR-1C-E</t>
  </si>
  <si>
    <t>TRANSPORTE DE EMULSÃO ASFÁLTICA RR-1C-E</t>
  </si>
  <si>
    <t>UNIDADE</t>
  </si>
  <si>
    <t>INSTALAÇÃO DO CANTEIRO DE OBRAS E ACAMPAMENTOS</t>
  </si>
  <si>
    <t>DESMOB</t>
  </si>
  <si>
    <t>INSIND</t>
  </si>
  <si>
    <t>INSTALAÇÃO INDUSTRIAL - USINA DE ASFALTO A QUENTE</t>
  </si>
  <si>
    <t>BRITA 1</t>
  </si>
  <si>
    <t>INSUMO</t>
  </si>
  <si>
    <t>LOCAL</t>
  </si>
  <si>
    <t>AQUISIÇÃO DE EMULSÃO ASFÁLTICA RC-1C-E</t>
  </si>
  <si>
    <t>TRANSPORTE DE EMULSÃO ASFÁLTICA RC-1C-E</t>
  </si>
  <si>
    <t>MOBILIZAÇÃO DE PESSOAL E EQUIPAMENTOS DE GRANDE PORTE</t>
  </si>
  <si>
    <t>DESMOBILIZAÇÃO DE PESSOAL E EQUIPAMENTOS DE GRANDE PORTE</t>
  </si>
  <si>
    <t>AQUISIÇÃO DE CIMENTO ASFÁLTICO CAP-50/70</t>
  </si>
  <si>
    <t>TRANSPORTE DE CIMENTO ASFÁLTICO CAP-50/70</t>
  </si>
  <si>
    <t>CUSTO
DESONERADO</t>
  </si>
  <si>
    <t>CUSTO
ONERADO</t>
  </si>
  <si>
    <t>PÓ DE PEDRA</t>
  </si>
  <si>
    <t>PEDRA DE MÃO</t>
  </si>
  <si>
    <t>BRITA 2</t>
  </si>
  <si>
    <t>AREIA MÉDIA</t>
  </si>
  <si>
    <t>AREIA MÉDIA LAVADA</t>
  </si>
  <si>
    <t>ORIGEM</t>
  </si>
  <si>
    <t>GD</t>
  </si>
  <si>
    <t>AM2092</t>
  </si>
  <si>
    <t>TM2092</t>
  </si>
  <si>
    <t>AQUISIÇÃO DE EMULSÃO ASFÁLTICA EAI</t>
  </si>
  <si>
    <t>TRANSPORTE DE EMULSÃO ASFÁLTICA EAI</t>
  </si>
  <si>
    <t>OCULTAR</t>
  </si>
  <si>
    <t>FATOR DE INTERFERÊNCIA DE TRÁFEGO - FIT</t>
  </si>
  <si>
    <t>SEGMENTO</t>
  </si>
  <si>
    <t>CONSERVAÇÃO DA FAIXA DE DOMÍNIO E LIMPEZA DE DISPOSITIVOS DE DRENAGEM</t>
  </si>
  <si>
    <t>PISTA</t>
  </si>
  <si>
    <t>BRITA 0</t>
  </si>
  <si>
    <t>PEDRISCO</t>
  </si>
  <si>
    <t>DESTINO</t>
  </si>
  <si>
    <t>CONSERVAÇÃO RODOVIÁRIA</t>
  </si>
  <si>
    <t>MATERIAIS BETUMINOSOS</t>
  </si>
  <si>
    <t>INDIRETOS</t>
  </si>
  <si>
    <t>DIVERSOS</t>
  </si>
  <si>
    <t>SINALIZAÇÃO DE OBRAS TEMPORÁRIAS</t>
  </si>
  <si>
    <t>PREÇOS NOVOS</t>
  </si>
  <si>
    <t>4915623A</t>
  </si>
  <si>
    <t>MACADAME HIDRÁULICO PARA BASE DE REMENDO PROFUNDO - PEDRA COMERCIAL</t>
  </si>
  <si>
    <t>BRITA 4</t>
  </si>
  <si>
    <t>PN02</t>
  </si>
  <si>
    <t>PN03</t>
  </si>
  <si>
    <t>TRANSPORTE COM CAMINHÃO BASCULANTE COM CAÇAMBA ESTANQUE COM CAPACIDADE DE 28 M³ - RODOVIA EM REVESTIMENTO PRIMÁRIO</t>
  </si>
  <si>
    <t>TRANSPORTE COM CAMINHÃO BASCULANTE COM CAÇAMBA ESTANQUE COM CAPACIDADE DE 28 M³ - RODOVIA PAVIMENTADA</t>
  </si>
  <si>
    <t>DMTp (km)</t>
  </si>
  <si>
    <t>DMTr (km)</t>
  </si>
  <si>
    <t>DMTu (km)</t>
  </si>
  <si>
    <t>VMDf</t>
  </si>
  <si>
    <t>Atraso A1 (s)</t>
  </si>
  <si>
    <t>Atraso A2 (s)</t>
  </si>
  <si>
    <t>MISTURA BETUMINOSA</t>
  </si>
  <si>
    <t>USINA</t>
  </si>
  <si>
    <t>INTERF.</t>
  </si>
  <si>
    <t>AREAL</t>
  </si>
  <si>
    <t>SENTIDO</t>
  </si>
  <si>
    <t>DECRESCENTE</t>
  </si>
  <si>
    <t>CRESCENTE</t>
  </si>
  <si>
    <t>VOLUME MÉDIO DIÁRIO</t>
  </si>
  <si>
    <t>EXTENSÃO (KM)</t>
  </si>
  <si>
    <t>KM-i</t>
  </si>
  <si>
    <t>KM-f</t>
  </si>
  <si>
    <t>SEG1</t>
  </si>
  <si>
    <t>SEG2</t>
  </si>
  <si>
    <t>VOLUME MÉDIO DIÁRIO FAIXA</t>
  </si>
  <si>
    <t>EXT. (KM)</t>
  </si>
  <si>
    <t>VMDc</t>
  </si>
  <si>
    <t>VMDd</t>
  </si>
  <si>
    <t>PEDREIRA</t>
  </si>
  <si>
    <t>QUADRO DE 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</si>
</sst>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7" formatCode="_(* #,##0.0000_);_(* \(#,##0.0000\);_(* &quot;-&quot;??_);_(@_)"/>
    <numFmt numFmtId="178" formatCode="0.00000000"/>
    <numFmt numFmtId="179" formatCode="_(* #,##0.00_);_(* \(#,##0.00\);_(* \-??_);_(@_)"/>
    <numFmt numFmtId="180" formatCode="[$€]#,##0.00_);[Red]\([$€]#,##0.00\)"/>
    <numFmt numFmtId="181" formatCode="#,##0.0000\ ;&quot; (&quot;#,##0.0000\);&quot; -&quot;#.00\ ;@\ "/>
    <numFmt numFmtId="182" formatCode="&quot;Cr$&quot;#,##0.00_);\(&quot;Cr$&quot;#,##0.00\)"/>
    <numFmt numFmtId="183" formatCode="_(&quot;Cr$&quot;* #,##0_);_(&quot;Cr$&quot;* \(#,##0\);_(&quot;Cr$&quot;* &quot;-&quot;_);_(@_)"/>
    <numFmt numFmtId="184" formatCode="&quot;R$&quot;\ #,##0.00_);[Red]\(&quot;R$&quot;\ #,##0.00\)"/>
    <numFmt numFmtId="185" formatCode="\$#,##0\ ;\(\$#,##0\)"/>
    <numFmt numFmtId="186" formatCode="_(&quot;Cr$&quot;* #,##0.00_);_(&quot;Cr$&quot;* \(#,##0.00\);_(&quot;Cr$&quot;* &quot;-&quot;??_);_(@_)"/>
    <numFmt numFmtId="187" formatCode="%#,#00"/>
    <numFmt numFmtId="188" formatCode="#.##000"/>
    <numFmt numFmtId="189" formatCode="#."/>
    <numFmt numFmtId="190" formatCode=";;;"/>
    <numFmt numFmtId="191" formatCode="#.##0,"/>
    <numFmt numFmtId="192" formatCode="_(* #,##0.00000_);_(* \(#,##0.00000\);_(* &quot;-&quot;??_);_(@_)"/>
    <numFmt numFmtId="193" formatCode="_(&quot;R$&quot;* #,##0.00_);_(&quot;R$&quot;* \(#,##0.00\);_(&quot;R$&quot;* \-??_);_(@_)"/>
    <numFmt numFmtId="194" formatCode="#,##0.0000"/>
    <numFmt numFmtId="195" formatCode="#,##0.0"/>
    <numFmt numFmtId="196" formatCode="&quot;Cr$&quot;#,##0.00_);&quot;(Cr$&quot;#,##0.00\)"/>
    <numFmt numFmtId="197" formatCode="\$#,##0.00_);&quot;($&quot;#,##0.00\)"/>
    <numFmt numFmtId="198" formatCode="\$#,##0_);&quot;($&quot;#,##0\)"/>
    <numFmt numFmtId="199" formatCode="mmmm\ d&quot;, &quot;yyyy"/>
    <numFmt numFmtId="200" formatCode="_([$€-2]* #,##0.00_);_([$€-2]* \(#,##0.00\);_([$€-2]* \-??_)"/>
    <numFmt numFmtId="201" formatCode="\$#,##0\ ;&quot;($&quot;#,##0\)"/>
    <numFmt numFmtId="202" formatCode="_(&quot;Cr$&quot;* #,##0.00_);_(&quot;Cr$&quot;* \(#,##0.00\);_(&quot;Cr$&quot;* \-??_);_(@_)"/>
    <numFmt numFmtId="203" formatCode="#,##0.000;[Red]#,##0.000"/>
    <numFmt numFmtId="204" formatCode="&quot;R$&quot;\ #,##0_);[Red]\(&quot;R$&quot;\ #,##0\)"/>
    <numFmt numFmtId="205" formatCode="&quot;R$&quot;\ #,##0.00_);\(&quot;R$&quot;\ #,##0.00\)"/>
    <numFmt numFmtId="206" formatCode="d/m/yy"/>
    <numFmt numFmtId="207" formatCode="_(&quot;$&quot;* #,##0.00_);_(&quot;$&quot;* \(#,##0.00\);_(&quot;$&quot;* &quot;-&quot;??_);_(@_)"/>
  </numFmts>
  <fonts count="15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color theme="1"/>
      <name val="Arial"/>
      <family val="2"/>
    </font>
    <font>
      <b/>
      <sz val="15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double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52398">
    <xf numFmtId="0" fontId="0" fillId="0" borderId="0"/>
    <xf numFmtId="169" fontId="60" fillId="0" borderId="0"/>
    <xf numFmtId="182" fontId="66" fillId="0" borderId="0">
      <protection locked="0"/>
    </xf>
    <xf numFmtId="182" fontId="66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3" fontId="69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61" fillId="0" borderId="0"/>
    <xf numFmtId="180" fontId="62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62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3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5" fontId="71" fillId="0" borderId="0" applyFont="0" applyFill="0" applyBorder="0" applyAlignment="0" applyProtection="0"/>
    <xf numFmtId="186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2" fillId="0" borderId="0"/>
    <xf numFmtId="49" fontId="57" fillId="0" borderId="0" applyProtection="0"/>
    <xf numFmtId="0" fontId="65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79" fillId="0" borderId="0"/>
    <xf numFmtId="0" fontId="72" fillId="0" borderId="0"/>
    <xf numFmtId="0" fontId="7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2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7" fontId="73" fillId="0" borderId="0">
      <protection locked="0"/>
    </xf>
    <xf numFmtId="188" fontId="73" fillId="0" borderId="0">
      <protection locked="0"/>
    </xf>
    <xf numFmtId="9" fontId="55" fillId="0" borderId="0" applyFont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7" fillId="0" borderId="0" applyFont="0" applyFill="0" applyBorder="0" applyAlignment="0" applyProtection="0"/>
    <xf numFmtId="189" fontId="74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5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81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4" fillId="0" borderId="0" applyFont="0" applyFill="0" applyBorder="0" applyAlignment="0" applyProtection="0"/>
    <xf numFmtId="178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0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75" fillId="0" borderId="0" applyNumberFormat="0" applyFill="0" applyBorder="0" applyAlignment="0" applyProtection="0"/>
    <xf numFmtId="190" fontId="66" fillId="0" borderId="0">
      <protection locked="0"/>
    </xf>
    <xf numFmtId="190" fontId="66" fillId="0" borderId="0">
      <protection locked="0"/>
    </xf>
    <xf numFmtId="188" fontId="73" fillId="0" borderId="0">
      <protection locked="0"/>
    </xf>
    <xf numFmtId="191" fontId="73" fillId="0" borderId="0">
      <protection locked="0"/>
    </xf>
    <xf numFmtId="169" fontId="55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1" fillId="0" borderId="0" applyFont="0" applyFill="0" applyBorder="0" applyAlignment="0" applyProtection="0"/>
    <xf numFmtId="0" fontId="55" fillId="0" borderId="0"/>
    <xf numFmtId="43" fontId="54" fillId="0" borderId="0" applyFont="0" applyFill="0" applyBorder="0" applyAlignment="0" applyProtection="0"/>
    <xf numFmtId="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55" fillId="0" borderId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5" fillId="0" borderId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8" fontId="55" fillId="0" borderId="0" applyFill="0" applyBorder="0" applyAlignment="0" applyProtection="0"/>
    <xf numFmtId="173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0" fontId="55" fillId="0" borderId="0"/>
    <xf numFmtId="0" fontId="55" fillId="0" borderId="0"/>
    <xf numFmtId="0" fontId="80" fillId="0" borderId="0"/>
    <xf numFmtId="0" fontId="53" fillId="0" borderId="0"/>
    <xf numFmtId="0" fontId="52" fillId="0" borderId="0"/>
    <xf numFmtId="0" fontId="55" fillId="0" borderId="0"/>
    <xf numFmtId="0" fontId="51" fillId="0" borderId="0"/>
    <xf numFmtId="0" fontId="50" fillId="0" borderId="0"/>
    <xf numFmtId="0" fontId="55" fillId="0" borderId="0"/>
    <xf numFmtId="0" fontId="50" fillId="0" borderId="0"/>
    <xf numFmtId="43" fontId="50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9" fontId="55" fillId="0" borderId="0" applyFill="0" applyBorder="0" applyAlignment="0" applyProtection="0"/>
    <xf numFmtId="0" fontId="49" fillId="0" borderId="0"/>
    <xf numFmtId="0" fontId="48" fillId="0" borderId="0"/>
    <xf numFmtId="43" fontId="48" fillId="0" borderId="0" applyFon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55" fillId="0" borderId="0"/>
    <xf numFmtId="0" fontId="47" fillId="0" borderId="0"/>
    <xf numFmtId="43" fontId="47" fillId="0" borderId="0" applyFont="0" applyFill="0" applyBorder="0" applyAlignment="0" applyProtection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0" fontId="46" fillId="0" borderId="0"/>
    <xf numFmtId="0" fontId="55" fillId="0" borderId="0"/>
    <xf numFmtId="0" fontId="45" fillId="0" borderId="0"/>
    <xf numFmtId="16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0" fontId="72" fillId="0" borderId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9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6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18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19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6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21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8" borderId="0" applyNumberFormat="0" applyBorder="0" applyAlignment="0" applyProtection="0"/>
    <xf numFmtId="0" fontId="83" fillId="8" borderId="0" applyNumberFormat="0" applyBorder="0" applyAlignment="0" applyProtection="0"/>
    <xf numFmtId="0" fontId="83" fillId="22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196" fontId="85" fillId="0" borderId="0">
      <protection locked="0"/>
    </xf>
    <xf numFmtId="196" fontId="85" fillId="0" borderId="0">
      <protection locked="0"/>
    </xf>
    <xf numFmtId="0" fontId="86" fillId="23" borderId="4" applyNumberFormat="0" applyAlignment="0" applyProtection="0"/>
    <xf numFmtId="0" fontId="86" fillId="23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7" fillId="14" borderId="5" applyNumberFormat="0" applyAlignment="0" applyProtection="0"/>
    <xf numFmtId="0" fontId="87" fillId="14" borderId="5" applyNumberFormat="0" applyAlignment="0" applyProtection="0"/>
    <xf numFmtId="0" fontId="87" fillId="6" borderId="5" applyNumberFormat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39" fontId="55" fillId="0" borderId="0" applyFill="0" applyBorder="0" applyAlignment="0" applyProtection="0"/>
    <xf numFmtId="3" fontId="72" fillId="0" borderId="0" applyFill="0" applyBorder="0" applyAlignment="0" applyProtection="0"/>
    <xf numFmtId="3" fontId="69" fillId="0" borderId="0" applyFont="0" applyFill="0" applyBorder="0" applyAlignment="0" applyProtection="0"/>
    <xf numFmtId="197" fontId="55" fillId="0" borderId="0" applyFill="0" applyBorder="0" applyAlignment="0" applyProtection="0"/>
    <xf numFmtId="198" fontId="55" fillId="0" borderId="0" applyFill="0" applyBorder="0" applyAlignment="0" applyProtection="0"/>
    <xf numFmtId="0" fontId="72" fillId="0" borderId="0" applyFill="0" applyBorder="0" applyAlignment="0" applyProtection="0"/>
    <xf numFmtId="0" fontId="71" fillId="0" borderId="0" applyFont="0" applyFill="0" applyBorder="0" applyAlignment="0" applyProtection="0"/>
    <xf numFmtId="199" fontId="55" fillId="0" borderId="0" applyFill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7" borderId="0" applyNumberFormat="0" applyBorder="0" applyAlignment="0" applyProtection="0"/>
    <xf numFmtId="0" fontId="83" fillId="21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200" fontId="55" fillId="0" borderId="0" applyFill="0" applyBorder="0" applyAlignment="0" applyProtection="0"/>
    <xf numFmtId="2" fontId="55" fillId="0" borderId="0" applyFill="0" applyBorder="0" applyAlignment="0" applyProtection="0"/>
    <xf numFmtId="2" fontId="72" fillId="0" borderId="0" applyFill="0" applyBorder="0" applyAlignment="0" applyProtection="0"/>
    <xf numFmtId="2" fontId="7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2" fillId="0" borderId="0"/>
    <xf numFmtId="0" fontId="62" fillId="0" borderId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201" fontId="72" fillId="0" borderId="0" applyFill="0" applyBorder="0" applyAlignment="0" applyProtection="0"/>
    <xf numFmtId="185" fontId="71" fillId="0" borderId="0" applyFont="0" applyFill="0" applyBorder="0" applyAlignment="0" applyProtection="0"/>
    <xf numFmtId="202" fontId="72" fillId="0" borderId="0" applyFill="0" applyBorder="0" applyAlignment="0" applyProtection="0"/>
    <xf numFmtId="186" fontId="55" fillId="0" borderId="0" applyFont="0" applyFill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72" fillId="0" borderId="0"/>
    <xf numFmtId="0" fontId="72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65" fillId="0" borderId="0"/>
    <xf numFmtId="0" fontId="55" fillId="0" borderId="0"/>
    <xf numFmtId="0" fontId="43" fillId="0" borderId="0"/>
    <xf numFmtId="0" fontId="43" fillId="0" borderId="0"/>
    <xf numFmtId="0" fontId="94" fillId="0" borderId="0"/>
    <xf numFmtId="0" fontId="72" fillId="0" borderId="0"/>
    <xf numFmtId="0" fontId="94" fillId="0" borderId="0"/>
    <xf numFmtId="0" fontId="55" fillId="0" borderId="0"/>
    <xf numFmtId="0" fontId="55" fillId="0" borderId="0"/>
    <xf numFmtId="0" fontId="65" fillId="0" borderId="0"/>
    <xf numFmtId="0" fontId="55" fillId="0" borderId="0"/>
    <xf numFmtId="0" fontId="55" fillId="0" borderId="0"/>
    <xf numFmtId="0" fontId="55" fillId="0" borderId="0"/>
    <xf numFmtId="0" fontId="72" fillId="10" borderId="7" applyNumberFormat="0" applyFont="0" applyAlignment="0" applyProtection="0"/>
    <xf numFmtId="0" fontId="72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10" fontId="55" fillId="0" borderId="0" applyFill="0" applyBorder="0" applyAlignment="0" applyProtection="0"/>
    <xf numFmtId="189" fontId="95" fillId="0" borderId="0">
      <protection locked="0"/>
    </xf>
    <xf numFmtId="189" fontId="95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1" fillId="7" borderId="0" applyNumberFormat="0" applyBorder="0" applyAlignment="0" applyProtection="0"/>
    <xf numFmtId="0" fontId="96" fillId="23" borderId="8" applyNumberFormat="0" applyAlignment="0" applyProtection="0"/>
    <xf numFmtId="0" fontId="96" fillId="23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189" fontId="97" fillId="0" borderId="0"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9" fontId="72" fillId="0" borderId="0" applyFill="0" applyBorder="0" applyAlignment="0" applyProtection="0"/>
    <xf numFmtId="202" fontId="72" fillId="0" borderId="0" applyFill="0" applyBorder="0" applyAlignment="0" applyProtection="0"/>
    <xf numFmtId="179" fontId="72" fillId="0" borderId="0" applyFill="0" applyBorder="0" applyAlignment="0" applyProtection="0"/>
    <xf numFmtId="43" fontId="55" fillId="0" borderId="0" applyFont="0" applyFill="0" applyBorder="0" applyAlignment="0" applyProtection="0"/>
    <xf numFmtId="179" fontId="72" fillId="0" borderId="0" applyFill="0" applyBorder="0" applyAlignment="0" applyProtection="0"/>
    <xf numFmtId="179" fontId="72" fillId="0" borderId="0" applyFill="0" applyBorder="0" applyAlignment="0" applyProtection="0"/>
    <xf numFmtId="201" fontId="72" fillId="0" borderId="0" applyFill="0" applyBorder="0" applyAlignment="0" applyProtection="0"/>
    <xf numFmtId="201" fontId="72" fillId="0" borderId="0" applyFill="0" applyBorder="0" applyAlignment="0" applyProtection="0"/>
    <xf numFmtId="195" fontId="72" fillId="0" borderId="0" applyFill="0" applyBorder="0" applyAlignment="0" applyProtection="0"/>
    <xf numFmtId="43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201" fontId="72" fillId="0" borderId="0" applyFill="0" applyBorder="0" applyAlignment="0" applyProtection="0"/>
    <xf numFmtId="0" fontId="55" fillId="0" borderId="0" applyFont="0" applyFill="0" applyBorder="0" applyAlignment="0" applyProtection="0"/>
    <xf numFmtId="179" fontId="72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95" fontId="72" fillId="0" borderId="0" applyFill="0" applyBorder="0" applyAlignment="0" applyProtection="0"/>
    <xf numFmtId="179" fontId="72" fillId="0" borderId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9" applyNumberFormat="0" applyFill="0" applyAlignment="0" applyProtection="0"/>
    <xf numFmtId="0" fontId="100" fillId="0" borderId="9" applyNumberFormat="0" applyFill="0" applyAlignment="0" applyProtection="0"/>
    <xf numFmtId="0" fontId="100" fillId="0" borderId="9" applyNumberFormat="0" applyFill="0" applyAlignment="0" applyProtection="0"/>
    <xf numFmtId="0" fontId="63" fillId="0" borderId="1" applyNumberFormat="0" applyFill="0" applyAlignment="0" applyProtection="0"/>
    <xf numFmtId="0" fontId="101" fillId="0" borderId="10" applyNumberFormat="0" applyFill="0" applyAlignment="0" applyProtection="0"/>
    <xf numFmtId="0" fontId="101" fillId="0" borderId="10" applyNumberFormat="0" applyFill="0" applyAlignment="0" applyProtection="0"/>
    <xf numFmtId="0" fontId="106" fillId="0" borderId="10" applyNumberFormat="0" applyFill="0" applyAlignment="0" applyProtection="0"/>
    <xf numFmtId="0" fontId="102" fillId="0" borderId="12" applyNumberFormat="0" applyFill="0" applyAlignment="0" applyProtection="0"/>
    <xf numFmtId="0" fontId="102" fillId="0" borderId="12" applyNumberFormat="0" applyFill="0" applyAlignment="0" applyProtection="0"/>
    <xf numFmtId="0" fontId="107" fillId="0" borderId="11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9" fontId="104" fillId="0" borderId="0">
      <protection locked="0"/>
    </xf>
    <xf numFmtId="189" fontId="104" fillId="0" borderId="0">
      <protection locked="0"/>
    </xf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188" fontId="105" fillId="0" borderId="0">
      <protection locked="0"/>
    </xf>
    <xf numFmtId="191" fontId="105" fillId="0" borderId="0">
      <protection locked="0"/>
    </xf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3" fillId="0" borderId="0" applyFont="0" applyFill="0" applyBorder="0" applyAlignment="0" applyProtection="0"/>
    <xf numFmtId="3" fontId="72" fillId="0" borderId="0" applyFill="0" applyBorder="0" applyAlignment="0" applyProtection="0"/>
    <xf numFmtId="3" fontId="71" fillId="0" borderId="0" applyFont="0" applyFill="0" applyBorder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7" fillId="6" borderId="14" applyNumberFormat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42" fillId="0" borderId="0"/>
    <xf numFmtId="0" fontId="42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02" fillId="0" borderId="17" applyNumberFormat="0" applyFill="0" applyAlignment="0" applyProtection="0"/>
    <xf numFmtId="0" fontId="102" fillId="0" borderId="17" applyNumberFormat="0" applyFill="0" applyAlignment="0" applyProtection="0"/>
    <xf numFmtId="0" fontId="107" fillId="0" borderId="16" applyNumberFormat="0" applyFill="0" applyAlignment="0" applyProtection="0"/>
    <xf numFmtId="43" fontId="5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0" fillId="0" borderId="0"/>
    <xf numFmtId="0" fontId="55" fillId="0" borderId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203" fontId="55" fillId="0" borderId="0" applyFont="0" applyFill="0" applyBorder="0" applyAlignment="0" applyProtection="0"/>
    <xf numFmtId="0" fontId="39" fillId="0" borderId="0"/>
    <xf numFmtId="0" fontId="38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5" fillId="0" borderId="0"/>
    <xf numFmtId="169" fontId="55" fillId="0" borderId="0" applyFont="0" applyFill="0" applyBorder="0" applyAlignment="0" applyProtection="0"/>
    <xf numFmtId="0" fontId="65" fillId="0" borderId="0"/>
    <xf numFmtId="0" fontId="36" fillId="0" borderId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65" fillId="12" borderId="0" applyNumberFormat="0" applyBorder="0" applyAlignment="0" applyProtection="0"/>
    <xf numFmtId="0" fontId="65" fillId="10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65" fillId="5" borderId="0" applyNumberFormat="0" applyBorder="0" applyAlignment="0" applyProtection="0"/>
    <xf numFmtId="0" fontId="36" fillId="37" borderId="0" applyNumberFormat="0" applyBorder="0" applyAlignment="0" applyProtection="0"/>
    <xf numFmtId="0" fontId="65" fillId="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65" fillId="7" borderId="0" applyNumberFormat="0" applyBorder="0" applyAlignment="0" applyProtection="0"/>
    <xf numFmtId="0" fontId="36" fillId="41" borderId="0" applyNumberFormat="0" applyBorder="0" applyAlignment="0" applyProtection="0"/>
    <xf numFmtId="0" fontId="65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65" fillId="9" borderId="0" applyNumberFormat="0" applyBorder="0" applyAlignment="0" applyProtection="0"/>
    <xf numFmtId="0" fontId="36" fillId="45" borderId="0" applyNumberFormat="0" applyBorder="0" applyAlignment="0" applyProtection="0"/>
    <xf numFmtId="0" fontId="65" fillId="9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65" fillId="11" borderId="0" applyNumberFormat="0" applyBorder="0" applyAlignment="0" applyProtection="0"/>
    <xf numFmtId="0" fontId="36" fillId="49" borderId="0" applyNumberFormat="0" applyBorder="0" applyAlignment="0" applyProtection="0"/>
    <xf numFmtId="0" fontId="65" fillId="11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65" fillId="12" borderId="0" applyNumberFormat="0" applyBorder="0" applyAlignment="0" applyProtection="0"/>
    <xf numFmtId="0" fontId="36" fillId="53" borderId="0" applyNumberFormat="0" applyBorder="0" applyAlignment="0" applyProtection="0"/>
    <xf numFmtId="0" fontId="65" fillId="1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65" fillId="8" borderId="0" applyNumberFormat="0" applyBorder="0" applyAlignment="0" applyProtection="0"/>
    <xf numFmtId="0" fontId="36" fillId="57" borderId="0" applyNumberFormat="0" applyBorder="0" applyAlignment="0" applyProtection="0"/>
    <xf numFmtId="0" fontId="65" fillId="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65" fillId="12" borderId="0" applyNumberFormat="0" applyBorder="0" applyAlignment="0" applyProtection="0"/>
    <xf numFmtId="0" fontId="65" fillId="15" borderId="0" applyNumberFormat="0" applyBorder="0" applyAlignment="0" applyProtection="0"/>
    <xf numFmtId="0" fontId="65" fillId="17" borderId="0" applyNumberFormat="0" applyBorder="0" applyAlignment="0" applyProtection="0"/>
    <xf numFmtId="0" fontId="65" fillId="7" borderId="0" applyNumberFormat="0" applyBorder="0" applyAlignment="0" applyProtection="0"/>
    <xf numFmtId="0" fontId="65" fillId="12" borderId="0" applyNumberFormat="0" applyBorder="0" applyAlignment="0" applyProtection="0"/>
    <xf numFmtId="0" fontId="65" fillId="10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65" fillId="13" borderId="0" applyNumberFormat="0" applyBorder="0" applyAlignment="0" applyProtection="0"/>
    <xf numFmtId="0" fontId="36" fillId="38" borderId="0" applyNumberFormat="0" applyBorder="0" applyAlignment="0" applyProtection="0"/>
    <xf numFmtId="0" fontId="65" fillId="13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65" fillId="15" borderId="0" applyNumberFormat="0" applyBorder="0" applyAlignment="0" applyProtection="0"/>
    <xf numFmtId="0" fontId="36" fillId="42" borderId="0" applyNumberFormat="0" applyBorder="0" applyAlignment="0" applyProtection="0"/>
    <xf numFmtId="0" fontId="65" fillId="15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65" fillId="16" borderId="0" applyNumberFormat="0" applyBorder="0" applyAlignment="0" applyProtection="0"/>
    <xf numFmtId="0" fontId="36" fillId="46" borderId="0" applyNumberFormat="0" applyBorder="0" applyAlignment="0" applyProtection="0"/>
    <xf numFmtId="0" fontId="65" fillId="1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65" fillId="11" borderId="0" applyNumberFormat="0" applyBorder="0" applyAlignment="0" applyProtection="0"/>
    <xf numFmtId="0" fontId="36" fillId="50" borderId="0" applyNumberFormat="0" applyBorder="0" applyAlignment="0" applyProtection="0"/>
    <xf numFmtId="0" fontId="65" fillId="11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65" fillId="13" borderId="0" applyNumberFormat="0" applyBorder="0" applyAlignment="0" applyProtection="0"/>
    <xf numFmtId="0" fontId="36" fillId="54" borderId="0" applyNumberFormat="0" applyBorder="0" applyAlignment="0" applyProtection="0"/>
    <xf numFmtId="0" fontId="65" fillId="13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65" fillId="18" borderId="0" applyNumberFormat="0" applyBorder="0" applyAlignment="0" applyProtection="0"/>
    <xf numFmtId="0" fontId="36" fillId="58" borderId="0" applyNumberFormat="0" applyBorder="0" applyAlignment="0" applyProtection="0"/>
    <xf numFmtId="0" fontId="65" fillId="1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83" fillId="12" borderId="0" applyNumberFormat="0" applyBorder="0" applyAlignment="0" applyProtection="0"/>
    <xf numFmtId="0" fontId="83" fillId="28" borderId="0" applyNumberFormat="0" applyBorder="0" applyAlignment="0" applyProtection="0"/>
    <xf numFmtId="0" fontId="83" fillId="18" borderId="0" applyNumberFormat="0" applyBorder="0" applyAlignment="0" applyProtection="0"/>
    <xf numFmtId="0" fontId="83" fillId="7" borderId="0" applyNumberFormat="0" applyBorder="0" applyAlignment="0" applyProtection="0"/>
    <xf numFmtId="0" fontId="83" fillId="12" borderId="0" applyNumberFormat="0" applyBorder="0" applyAlignment="0" applyProtection="0"/>
    <xf numFmtId="0" fontId="83" fillId="15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43" borderId="0" applyNumberFormat="0" applyBorder="0" applyAlignment="0" applyProtection="0"/>
    <xf numFmtId="0" fontId="121" fillId="43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121" fillId="43" borderId="0" applyNumberFormat="0" applyBorder="0" applyAlignment="0" applyProtection="0"/>
    <xf numFmtId="0" fontId="121" fillId="43" borderId="0" applyNumberFormat="0" applyBorder="0" applyAlignment="0" applyProtection="0"/>
    <xf numFmtId="0" fontId="121" fillId="43" borderId="0" applyNumberFormat="0" applyBorder="0" applyAlignment="0" applyProtection="0"/>
    <xf numFmtId="0" fontId="121" fillId="47" borderId="0" applyNumberFormat="0" applyBorder="0" applyAlignment="0" applyProtection="0"/>
    <xf numFmtId="0" fontId="121" fillId="47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121" fillId="47" borderId="0" applyNumberFormat="0" applyBorder="0" applyAlignment="0" applyProtection="0"/>
    <xf numFmtId="0" fontId="121" fillId="47" borderId="0" applyNumberFormat="0" applyBorder="0" applyAlignment="0" applyProtection="0"/>
    <xf numFmtId="0" fontId="121" fillId="47" borderId="0" applyNumberFormat="0" applyBorder="0" applyAlignment="0" applyProtection="0"/>
    <xf numFmtId="0" fontId="121" fillId="51" borderId="0" applyNumberFormat="0" applyBorder="0" applyAlignment="0" applyProtection="0"/>
    <xf numFmtId="0" fontId="121" fillId="5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2" fillId="0" borderId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1" fillId="51" borderId="0" applyNumberFormat="0" applyBorder="0" applyAlignment="0" applyProtection="0"/>
    <xf numFmtId="0" fontId="121" fillId="51" borderId="0" applyNumberFormat="0" applyBorder="0" applyAlignment="0" applyProtection="0"/>
    <xf numFmtId="0" fontId="121" fillId="51" borderId="0" applyNumberFormat="0" applyBorder="0" applyAlignment="0" applyProtection="0"/>
    <xf numFmtId="0" fontId="121" fillId="55" borderId="0" applyNumberFormat="0" applyBorder="0" applyAlignment="0" applyProtection="0"/>
    <xf numFmtId="0" fontId="121" fillId="55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1" fillId="55" borderId="0" applyNumberFormat="0" applyBorder="0" applyAlignment="0" applyProtection="0"/>
    <xf numFmtId="0" fontId="121" fillId="55" borderId="0" applyNumberFormat="0" applyBorder="0" applyAlignment="0" applyProtection="0"/>
    <xf numFmtId="0" fontId="121" fillId="55" borderId="0" applyNumberFormat="0" applyBorder="0" applyAlignment="0" applyProtection="0"/>
    <xf numFmtId="0" fontId="121" fillId="59" borderId="0" applyNumberFormat="0" applyBorder="0" applyAlignment="0" applyProtection="0"/>
    <xf numFmtId="0" fontId="121" fillId="59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121" fillId="59" borderId="0" applyNumberFormat="0" applyBorder="0" applyAlignment="0" applyProtection="0"/>
    <xf numFmtId="0" fontId="121" fillId="59" borderId="0" applyNumberFormat="0" applyBorder="0" applyAlignment="0" applyProtection="0"/>
    <xf numFmtId="0" fontId="121" fillId="59" borderId="0" applyNumberFormat="0" applyBorder="0" applyAlignment="0" applyProtection="0"/>
    <xf numFmtId="0" fontId="83" fillId="60" borderId="0" applyNumberFormat="0" applyBorder="0" applyAlignment="0" applyProtection="0"/>
    <xf numFmtId="0" fontId="83" fillId="28" borderId="0" applyNumberFormat="0" applyBorder="0" applyAlignment="0" applyProtection="0"/>
    <xf numFmtId="0" fontId="83" fillId="18" borderId="0" applyNumberFormat="0" applyBorder="0" applyAlignment="0" applyProtection="0"/>
    <xf numFmtId="0" fontId="83" fillId="27" borderId="0" applyNumberFormat="0" applyBorder="0" applyAlignment="0" applyProtection="0"/>
    <xf numFmtId="0" fontId="83" fillId="20" borderId="0" applyNumberFormat="0" applyBorder="0" applyAlignment="0" applyProtection="0"/>
    <xf numFmtId="0" fontId="83" fillId="25" borderId="0" applyNumberFormat="0" applyBorder="0" applyAlignment="0" applyProtection="0"/>
    <xf numFmtId="0" fontId="91" fillId="11" borderId="0" applyNumberFormat="0" applyBorder="0" applyAlignment="0" applyProtection="0"/>
    <xf numFmtId="0" fontId="113" fillId="29" borderId="0" applyNumberFormat="0" applyBorder="0" applyAlignment="0" applyProtection="0"/>
    <xf numFmtId="0" fontId="113" fillId="2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113" fillId="29" borderId="0" applyNumberFormat="0" applyBorder="0" applyAlignment="0" applyProtection="0"/>
    <xf numFmtId="0" fontId="113" fillId="29" borderId="0" applyNumberFormat="0" applyBorder="0" applyAlignment="0" applyProtection="0"/>
    <xf numFmtId="0" fontId="113" fillId="29" borderId="0" applyNumberFormat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3" fillId="23" borderId="4" applyNumberFormat="0" applyAlignment="0" applyProtection="0"/>
    <xf numFmtId="0" fontId="118" fillId="33" borderId="21" applyNumberFormat="0" applyAlignment="0" applyProtection="0"/>
    <xf numFmtId="0" fontId="118" fillId="33" borderId="21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86" fillId="14" borderId="4" applyNumberFormat="0" applyAlignment="0" applyProtection="0"/>
    <xf numFmtId="0" fontId="124" fillId="0" borderId="0"/>
    <xf numFmtId="0" fontId="118" fillId="33" borderId="21" applyNumberFormat="0" applyAlignment="0" applyProtection="0"/>
    <xf numFmtId="0" fontId="118" fillId="33" borderId="21" applyNumberFormat="0" applyAlignment="0" applyProtection="0"/>
    <xf numFmtId="0" fontId="118" fillId="33" borderId="21" applyNumberFormat="0" applyAlignment="0" applyProtection="0"/>
    <xf numFmtId="0" fontId="82" fillId="34" borderId="24" applyNumberFormat="0" applyAlignment="0" applyProtection="0"/>
    <xf numFmtId="0" fontId="82" fillId="34" borderId="2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125" fillId="0" borderId="0"/>
    <xf numFmtId="0" fontId="87" fillId="6" borderId="14" applyNumberFormat="0" applyAlignment="0" applyProtection="0"/>
    <xf numFmtId="0" fontId="87" fillId="6" borderId="14" applyNumberFormat="0" applyAlignment="0" applyProtection="0"/>
    <xf numFmtId="0" fontId="82" fillId="34" borderId="24" applyNumberFormat="0" applyAlignment="0" applyProtection="0"/>
    <xf numFmtId="0" fontId="82" fillId="34" borderId="24" applyNumberFormat="0" applyAlignment="0" applyProtection="0"/>
    <xf numFmtId="0" fontId="82" fillId="34" borderId="24" applyNumberFormat="0" applyAlignment="0" applyProtection="0"/>
    <xf numFmtId="0" fontId="119" fillId="0" borderId="23" applyNumberFormat="0" applyFill="0" applyAlignment="0" applyProtection="0"/>
    <xf numFmtId="0" fontId="119" fillId="0" borderId="23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88" fillId="0" borderId="6" applyNumberFormat="0" applyFill="0" applyAlignment="0" applyProtection="0"/>
    <xf numFmtId="0" fontId="119" fillId="0" borderId="23" applyNumberFormat="0" applyFill="0" applyAlignment="0" applyProtection="0"/>
    <xf numFmtId="0" fontId="119" fillId="0" borderId="23" applyNumberFormat="0" applyFill="0" applyAlignment="0" applyProtection="0"/>
    <xf numFmtId="0" fontId="119" fillId="0" borderId="23" applyNumberFormat="0" applyFill="0" applyAlignment="0" applyProtection="0"/>
    <xf numFmtId="0" fontId="87" fillId="6" borderId="14" applyNumberFormat="0" applyAlignment="0" applyProtection="0"/>
    <xf numFmtId="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1" fillId="36" borderId="0" applyNumberFormat="0" applyBorder="0" applyAlignment="0" applyProtection="0"/>
    <xf numFmtId="0" fontId="121" fillId="36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121" fillId="36" borderId="0" applyNumberFormat="0" applyBorder="0" applyAlignment="0" applyProtection="0"/>
    <xf numFmtId="0" fontId="121" fillId="36" borderId="0" applyNumberFormat="0" applyBorder="0" applyAlignment="0" applyProtection="0"/>
    <xf numFmtId="0" fontId="121" fillId="36" borderId="0" applyNumberFormat="0" applyBorder="0" applyAlignment="0" applyProtection="0"/>
    <xf numFmtId="0" fontId="121" fillId="40" borderId="0" applyNumberFormat="0" applyBorder="0" applyAlignment="0" applyProtection="0"/>
    <xf numFmtId="0" fontId="121" fillId="40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121" fillId="40" borderId="0" applyNumberFormat="0" applyBorder="0" applyAlignment="0" applyProtection="0"/>
    <xf numFmtId="0" fontId="121" fillId="40" borderId="0" applyNumberFormat="0" applyBorder="0" applyAlignment="0" applyProtection="0"/>
    <xf numFmtId="0" fontId="121" fillId="40" borderId="0" applyNumberFormat="0" applyBorder="0" applyAlignment="0" applyProtection="0"/>
    <xf numFmtId="0" fontId="121" fillId="44" borderId="0" applyNumberFormat="0" applyBorder="0" applyAlignment="0" applyProtection="0"/>
    <xf numFmtId="0" fontId="121" fillId="44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121" fillId="44" borderId="0" applyNumberFormat="0" applyBorder="0" applyAlignment="0" applyProtection="0"/>
    <xf numFmtId="0" fontId="121" fillId="44" borderId="0" applyNumberFormat="0" applyBorder="0" applyAlignment="0" applyProtection="0"/>
    <xf numFmtId="0" fontId="121" fillId="44" borderId="0" applyNumberFormat="0" applyBorder="0" applyAlignment="0" applyProtection="0"/>
    <xf numFmtId="0" fontId="121" fillId="48" borderId="0" applyNumberFormat="0" applyBorder="0" applyAlignment="0" applyProtection="0"/>
    <xf numFmtId="0" fontId="121" fillId="48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1" fillId="48" borderId="0" applyNumberFormat="0" applyBorder="0" applyAlignment="0" applyProtection="0"/>
    <xf numFmtId="0" fontId="121" fillId="48" borderId="0" applyNumberFormat="0" applyBorder="0" applyAlignment="0" applyProtection="0"/>
    <xf numFmtId="0" fontId="121" fillId="48" borderId="0" applyNumberFormat="0" applyBorder="0" applyAlignment="0" applyProtection="0"/>
    <xf numFmtId="0" fontId="121" fillId="52" borderId="0" applyNumberFormat="0" applyBorder="0" applyAlignment="0" applyProtection="0"/>
    <xf numFmtId="0" fontId="121" fillId="52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1" fillId="52" borderId="0" applyNumberFormat="0" applyBorder="0" applyAlignment="0" applyProtection="0"/>
    <xf numFmtId="0" fontId="121" fillId="52" borderId="0" applyNumberFormat="0" applyBorder="0" applyAlignment="0" applyProtection="0"/>
    <xf numFmtId="0" fontId="121" fillId="52" borderId="0" applyNumberFormat="0" applyBorder="0" applyAlignment="0" applyProtection="0"/>
    <xf numFmtId="0" fontId="121" fillId="56" borderId="0" applyNumberFormat="0" applyBorder="0" applyAlignment="0" applyProtection="0"/>
    <xf numFmtId="0" fontId="121" fillId="56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121" fillId="56" borderId="0" applyNumberFormat="0" applyBorder="0" applyAlignment="0" applyProtection="0"/>
    <xf numFmtId="0" fontId="121" fillId="56" borderId="0" applyNumberFormat="0" applyBorder="0" applyAlignment="0" applyProtection="0"/>
    <xf numFmtId="0" fontId="121" fillId="56" borderId="0" applyNumberFormat="0" applyBorder="0" applyAlignment="0" applyProtection="0"/>
    <xf numFmtId="0" fontId="116" fillId="32" borderId="21" applyNumberFormat="0" applyAlignment="0" applyProtection="0"/>
    <xf numFmtId="0" fontId="116" fillId="32" borderId="21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89" fillId="8" borderId="4" applyNumberFormat="0" applyAlignment="0" applyProtection="0"/>
    <xf numFmtId="0" fontId="116" fillId="32" borderId="21" applyNumberFormat="0" applyAlignment="0" applyProtection="0"/>
    <xf numFmtId="0" fontId="116" fillId="32" borderId="21" applyNumberFormat="0" applyAlignment="0" applyProtection="0"/>
    <xf numFmtId="0" fontId="116" fillId="32" borderId="21" applyNumberFormat="0" applyAlignment="0" applyProtection="0"/>
    <xf numFmtId="0" fontId="99" fillId="0" borderId="0" applyNumberFormat="0" applyFill="0" applyBorder="0" applyAlignment="0" applyProtection="0"/>
    <xf numFmtId="0" fontId="73" fillId="0" borderId="0">
      <protection locked="0"/>
    </xf>
    <xf numFmtId="0" fontId="66" fillId="0" borderId="0">
      <protection locked="0"/>
    </xf>
    <xf numFmtId="0" fontId="12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" fontId="71" fillId="0" borderId="0" applyFont="0" applyFill="0" applyBorder="0" applyAlignment="0" applyProtection="0"/>
    <xf numFmtId="0" fontId="84" fillId="12" borderId="0" applyNumberFormat="0" applyBorder="0" applyAlignment="0" applyProtection="0"/>
    <xf numFmtId="0" fontId="127" fillId="0" borderId="0">
      <alignment horizontal="left"/>
    </xf>
    <xf numFmtId="0" fontId="100" fillId="0" borderId="27" applyNumberFormat="0" applyFill="0" applyAlignment="0" applyProtection="0"/>
    <xf numFmtId="0" fontId="101" fillId="0" borderId="28" applyNumberFormat="0" applyFill="0" applyAlignment="0" applyProtection="0"/>
    <xf numFmtId="0" fontId="102" fillId="0" borderId="29" applyNumberFormat="0" applyFill="0" applyAlignment="0" applyProtection="0"/>
    <xf numFmtId="0" fontId="102" fillId="0" borderId="0" applyNumberFormat="0" applyFill="0" applyBorder="0" applyAlignment="0" applyProtection="0"/>
    <xf numFmtId="0" fontId="128" fillId="0" borderId="0">
      <alignment horizontal="center" textRotation="90"/>
    </xf>
    <xf numFmtId="0" fontId="129" fillId="0" borderId="0" applyNumberFormat="0" applyFill="0" applyBorder="0" applyAlignment="0" applyProtection="0">
      <alignment vertical="top"/>
      <protection locked="0"/>
    </xf>
    <xf numFmtId="0" fontId="114" fillId="30" borderId="0" applyNumberFormat="0" applyBorder="0" applyAlignment="0" applyProtection="0"/>
    <xf numFmtId="0" fontId="114" fillId="30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114" fillId="30" borderId="0" applyNumberFormat="0" applyBorder="0" applyAlignment="0" applyProtection="0"/>
    <xf numFmtId="0" fontId="114" fillId="30" borderId="0" applyNumberFormat="0" applyBorder="0" applyAlignment="0" applyProtection="0"/>
    <xf numFmtId="0" fontId="114" fillId="30" borderId="0" applyNumberFormat="0" applyBorder="0" applyAlignment="0" applyProtection="0"/>
    <xf numFmtId="0" fontId="62" fillId="0" borderId="0"/>
    <xf numFmtId="0" fontId="62" fillId="0" borderId="0"/>
    <xf numFmtId="0" fontId="89" fillId="17" borderId="4" applyNumberFormat="0" applyAlignment="0" applyProtection="0"/>
    <xf numFmtId="0" fontId="98" fillId="0" borderId="30" applyNumberFormat="0" applyFill="0" applyAlignment="0" applyProtection="0"/>
    <xf numFmtId="38" fontId="130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131" fillId="0" borderId="15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55" fillId="0" borderId="0" applyFont="0" applyFill="0" applyBorder="0" applyAlignment="0" applyProtection="0"/>
    <xf numFmtId="174" fontId="55" fillId="0" borderId="0" applyFont="0" applyFill="0" applyBorder="0" applyAlignment="0" applyProtection="0"/>
    <xf numFmtId="174" fontId="55" fillId="0" borderId="0" applyFont="0" applyFill="0" applyBorder="0" applyAlignment="0" applyProtection="0"/>
    <xf numFmtId="173" fontId="132" fillId="0" borderId="0" applyFont="0" applyFill="0" applyBorder="0" applyAlignment="0" applyProtection="0"/>
    <xf numFmtId="185" fontId="71" fillId="0" borderId="0" applyFont="0" applyFill="0" applyBorder="0" applyAlignment="0" applyProtection="0"/>
    <xf numFmtId="204" fontId="55" fillId="0" borderId="0" applyFont="0" applyFill="0" applyBorder="0" applyAlignment="0" applyProtection="0"/>
    <xf numFmtId="205" fontId="55" fillId="0" borderId="0" applyFont="0" applyFill="0" applyBorder="0" applyAlignment="0" applyProtection="0"/>
    <xf numFmtId="0" fontId="115" fillId="31" borderId="0" applyNumberFormat="0" applyBorder="0" applyAlignment="0" applyProtection="0"/>
    <xf numFmtId="0" fontId="115" fillId="31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115" fillId="31" borderId="0" applyNumberFormat="0" applyBorder="0" applyAlignment="0" applyProtection="0"/>
    <xf numFmtId="0" fontId="115" fillId="31" borderId="0" applyNumberFormat="0" applyBorder="0" applyAlignment="0" applyProtection="0"/>
    <xf numFmtId="0" fontId="115" fillId="31" borderId="0" applyNumberFormat="0" applyBorder="0" applyAlignment="0" applyProtection="0"/>
    <xf numFmtId="0" fontId="133" fillId="17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3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6" fillId="0" borderId="0"/>
    <xf numFmtId="0" fontId="3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 applyNumberFormat="0" applyFont="0" applyFill="0" applyBorder="0" applyAlignment="0" applyProtection="0">
      <alignment vertical="top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55" fillId="0" borderId="0"/>
    <xf numFmtId="0" fontId="55" fillId="0" borderId="0"/>
    <xf numFmtId="0" fontId="36" fillId="0" borderId="0"/>
    <xf numFmtId="0" fontId="65" fillId="0" borderId="0"/>
    <xf numFmtId="0" fontId="65" fillId="0" borderId="0"/>
    <xf numFmtId="0" fontId="72" fillId="0" borderId="0"/>
    <xf numFmtId="0" fontId="7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9" fontId="62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9" fontId="6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6" fillId="0" borderId="0"/>
    <xf numFmtId="0" fontId="55" fillId="0" borderId="0"/>
    <xf numFmtId="0" fontId="55" fillId="0" borderId="0"/>
    <xf numFmtId="0" fontId="13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5" fillId="0" borderId="0"/>
    <xf numFmtId="0" fontId="5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5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5" fillId="35" borderId="25" applyNumberFormat="0" applyFont="0" applyAlignment="0" applyProtection="0"/>
    <xf numFmtId="0" fontId="65" fillId="35" borderId="25" applyNumberFormat="0" applyFont="0" applyAlignment="0" applyProtection="0"/>
    <xf numFmtId="0" fontId="65" fillId="35" borderId="25" applyNumberFormat="0" applyFont="0" applyAlignment="0" applyProtection="0"/>
    <xf numFmtId="0" fontId="65" fillId="10" borderId="7" applyNumberFormat="0" applyFont="0" applyAlignment="0" applyProtection="0"/>
    <xf numFmtId="0" fontId="65" fillId="10" borderId="7" applyNumberFormat="0" applyFont="0" applyAlignment="0" applyProtection="0"/>
    <xf numFmtId="0" fontId="65" fillId="10" borderId="7" applyNumberFormat="0" applyFont="0" applyAlignment="0" applyProtection="0"/>
    <xf numFmtId="0" fontId="65" fillId="10" borderId="7" applyNumberFormat="0" applyFont="0" applyAlignment="0" applyProtection="0"/>
    <xf numFmtId="0" fontId="65" fillId="10" borderId="7" applyNumberFormat="0" applyFont="0" applyAlignment="0" applyProtection="0"/>
    <xf numFmtId="0" fontId="36" fillId="35" borderId="25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36" fillId="35" borderId="25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36" fillId="35" borderId="25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55" fillId="10" borderId="7" applyNumberFormat="0" applyFont="0" applyAlignment="0" applyProtection="0"/>
    <xf numFmtId="0" fontId="36" fillId="35" borderId="25" applyNumberFormat="0" applyFont="0" applyAlignment="0" applyProtection="0"/>
    <xf numFmtId="0" fontId="36" fillId="35" borderId="25" applyNumberFormat="0" applyFont="0" applyAlignment="0" applyProtection="0"/>
    <xf numFmtId="0" fontId="65" fillId="10" borderId="7" applyNumberFormat="0" applyFont="0" applyAlignment="0" applyProtection="0"/>
    <xf numFmtId="0" fontId="65" fillId="35" borderId="25" applyNumberFormat="0" applyFont="0" applyAlignment="0" applyProtection="0"/>
    <xf numFmtId="0" fontId="65" fillId="35" borderId="25" applyNumberFormat="0" applyFont="0" applyAlignment="0" applyProtection="0"/>
    <xf numFmtId="0" fontId="94" fillId="10" borderId="7" applyNumberFormat="0" applyFont="0" applyAlignment="0" applyProtection="0"/>
    <xf numFmtId="40" fontId="136" fillId="0" borderId="0" applyFont="0" applyFill="0" applyBorder="0" applyAlignment="0" applyProtection="0"/>
    <xf numFmtId="38" fontId="136" fillId="0" borderId="0" applyFont="0" applyFill="0" applyBorder="0" applyAlignment="0" applyProtection="0"/>
    <xf numFmtId="0" fontId="96" fillId="23" borderId="8" applyNumberFormat="0" applyAlignment="0" applyProtection="0"/>
    <xf numFmtId="189" fontId="137" fillId="0" borderId="0">
      <protection locked="0"/>
    </xf>
    <xf numFmtId="189" fontId="137" fillId="0" borderId="0">
      <protection locked="0"/>
    </xf>
    <xf numFmtId="189" fontId="137" fillId="0" borderId="0">
      <protection locked="0"/>
    </xf>
    <xf numFmtId="189" fontId="137" fillId="0" borderId="0">
      <protection locked="0"/>
    </xf>
    <xf numFmtId="189" fontId="137" fillId="0" borderId="0">
      <protection locked="0"/>
    </xf>
    <xf numFmtId="189" fontId="137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17" fillId="33" borderId="22" applyNumberFormat="0" applyAlignment="0" applyProtection="0"/>
    <xf numFmtId="0" fontId="117" fillId="33" borderId="22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96" fillId="14" borderId="8" applyNumberFormat="0" applyAlignment="0" applyProtection="0"/>
    <xf numFmtId="0" fontId="117" fillId="33" borderId="22" applyNumberFormat="0" applyAlignment="0" applyProtection="0"/>
    <xf numFmtId="0" fontId="117" fillId="33" borderId="22" applyNumberFormat="0" applyAlignment="0" applyProtection="0"/>
    <xf numFmtId="0" fontId="117" fillId="33" borderId="22" applyNumberFormat="0" applyAlignment="0" applyProtection="0"/>
    <xf numFmtId="189" fontId="74" fillId="0" borderId="0">
      <protection locked="0"/>
    </xf>
    <xf numFmtId="189" fontId="74" fillId="0" borderId="0">
      <protection locked="0"/>
    </xf>
    <xf numFmtId="189" fontId="74" fillId="0" borderId="0">
      <protection locked="0"/>
    </xf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131" fillId="0" borderId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0" fillId="0" borderId="18" applyNumberFormat="0" applyFill="0" applyAlignment="0" applyProtection="0"/>
    <xf numFmtId="0" fontId="110" fillId="0" borderId="18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110" fillId="0" borderId="18" applyNumberFormat="0" applyFill="0" applyAlignment="0" applyProtection="0"/>
    <xf numFmtId="0" fontId="110" fillId="0" borderId="18" applyNumberFormat="0" applyFill="0" applyAlignment="0" applyProtection="0"/>
    <xf numFmtId="0" fontId="110" fillId="0" borderId="18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206" fontId="139" fillId="0" borderId="0">
      <alignment horizontal="center" textRotation="90"/>
    </xf>
    <xf numFmtId="0" fontId="111" fillId="0" borderId="19" applyNumberFormat="0" applyFill="0" applyAlignment="0" applyProtection="0"/>
    <xf numFmtId="0" fontId="111" fillId="0" borderId="19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06" fillId="0" borderId="10" applyNumberFormat="0" applyFill="0" applyAlignment="0" applyProtection="0"/>
    <xf numFmtId="0" fontId="111" fillId="0" borderId="19" applyNumberFormat="0" applyFill="0" applyAlignment="0" applyProtection="0"/>
    <xf numFmtId="0" fontId="111" fillId="0" borderId="19" applyNumberFormat="0" applyFill="0" applyAlignment="0" applyProtection="0"/>
    <xf numFmtId="0" fontId="111" fillId="0" borderId="19" applyNumberFormat="0" applyFill="0" applyAlignment="0" applyProtection="0"/>
    <xf numFmtId="0" fontId="75" fillId="0" borderId="0" applyNumberFormat="0" applyFill="0" applyBorder="0" applyAlignment="0" applyProtection="0"/>
    <xf numFmtId="0" fontId="112" fillId="0" borderId="20" applyNumberFormat="0" applyFill="0" applyAlignment="0" applyProtection="0"/>
    <xf numFmtId="0" fontId="112" fillId="0" borderId="20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07" fillId="0" borderId="16" applyNumberFormat="0" applyFill="0" applyAlignment="0" applyProtection="0"/>
    <xf numFmtId="0" fontId="112" fillId="0" borderId="20" applyNumberFormat="0" applyFill="0" applyAlignment="0" applyProtection="0"/>
    <xf numFmtId="0" fontId="112" fillId="0" borderId="20" applyNumberFormat="0" applyFill="0" applyAlignment="0" applyProtection="0"/>
    <xf numFmtId="0" fontId="112" fillId="0" borderId="20" applyNumberFormat="0" applyFill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9" fontId="140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189" fontId="140" fillId="0" borderId="0">
      <protection locked="0"/>
    </xf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49" fontId="141" fillId="0" borderId="2">
      <alignment horizontal="left" vertical="center"/>
    </xf>
    <xf numFmtId="49" fontId="141" fillId="0" borderId="2">
      <alignment horizontal="left" vertical="center"/>
    </xf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142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3" fontId="71" fillId="0" borderId="0" applyFont="0" applyFill="0" applyBorder="0" applyAlignment="0" applyProtection="0"/>
    <xf numFmtId="207" fontId="55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5" fillId="0" borderId="0"/>
    <xf numFmtId="0" fontId="143" fillId="0" borderId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173" fontId="55" fillId="0" borderId="0" applyFont="0" applyFill="0" applyBorder="0" applyAlignment="0" applyProtection="0"/>
    <xf numFmtId="0" fontId="86" fillId="14" borderId="43" applyNumberFormat="0" applyAlignment="0" applyProtection="0"/>
    <xf numFmtId="168" fontId="55" fillId="0" borderId="0" applyFont="0" applyFill="0" applyBorder="0" applyAlignment="0" applyProtection="0"/>
    <xf numFmtId="193" fontId="55" fillId="0" borderId="0" applyFill="0" applyBorder="0" applyAlignment="0" applyProtection="0"/>
    <xf numFmtId="172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168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49" fontId="55" fillId="0" borderId="0" applyProtection="0"/>
    <xf numFmtId="49" fontId="55" fillId="0" borderId="0" applyProtection="0"/>
    <xf numFmtId="0" fontId="86" fillId="14" borderId="43" applyNumberFormat="0" applyAlignment="0" applyProtection="0"/>
    <xf numFmtId="49" fontId="55" fillId="0" borderId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49" fontId="55" fillId="0" borderId="0" applyProtection="0"/>
    <xf numFmtId="0" fontId="55" fillId="0" borderId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49" fontId="55" fillId="0" borderId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49" fontId="55" fillId="0" borderId="0" applyProtection="0"/>
    <xf numFmtId="0" fontId="55" fillId="0" borderId="0"/>
    <xf numFmtId="49" fontId="55" fillId="0" borderId="0" applyProtection="0"/>
    <xf numFmtId="49" fontId="55" fillId="0" borderId="0" applyProtection="0"/>
    <xf numFmtId="0" fontId="55" fillId="0" borderId="0"/>
    <xf numFmtId="49" fontId="55" fillId="0" borderId="0" applyProtection="0"/>
    <xf numFmtId="49" fontId="55" fillId="0" borderId="0" applyProtection="0"/>
    <xf numFmtId="9" fontId="55" fillId="0" borderId="0" applyFont="0" applyFill="0" applyBorder="0" applyAlignment="0" applyProtection="0"/>
    <xf numFmtId="9" fontId="55" fillId="0" borderId="0" applyFill="0" applyBorder="0" applyAlignment="0" applyProtection="0"/>
    <xf numFmtId="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42" fontId="55" fillId="0" borderId="0" applyFill="0" applyBorder="0" applyAlignment="0" applyProtection="0"/>
    <xf numFmtId="42" fontId="55" fillId="0" borderId="0" applyFill="0" applyBorder="0" applyAlignment="0" applyProtection="0"/>
    <xf numFmtId="171" fontId="55" fillId="0" borderId="0" applyFill="0" applyBorder="0" applyAlignment="0" applyProtection="0"/>
    <xf numFmtId="181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0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0" fontId="86" fillId="14" borderId="43" applyNumberFormat="0" applyAlignment="0" applyProtection="0"/>
    <xf numFmtId="43" fontId="35" fillId="0" borderId="0" applyFont="0" applyFill="0" applyBorder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86" fillId="14" borderId="43" applyNumberFormat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86" fillId="14" borderId="43" applyNumberFormat="0" applyAlignment="0" applyProtection="0"/>
    <xf numFmtId="0" fontId="35" fillId="0" borderId="0"/>
    <xf numFmtId="43" fontId="35" fillId="0" borderId="0" applyFont="0" applyFill="0" applyBorder="0" applyAlignment="0" applyProtection="0"/>
    <xf numFmtId="0" fontId="86" fillId="14" borderId="43" applyNumberFormat="0" applyAlignment="0" applyProtection="0"/>
    <xf numFmtId="0" fontId="35" fillId="0" borderId="0"/>
    <xf numFmtId="0" fontId="86" fillId="14" borderId="43" applyNumberFormat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23" borderId="32" applyNumberFormat="0" applyAlignment="0" applyProtection="0"/>
    <xf numFmtId="0" fontId="86" fillId="23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0" borderId="0"/>
    <xf numFmtId="0" fontId="72" fillId="10" borderId="33" applyNumberFormat="0" applyFont="0" applyAlignment="0" applyProtection="0"/>
    <xf numFmtId="0" fontId="72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96" fillId="23" borderId="34" applyNumberFormat="0" applyAlignment="0" applyProtection="0"/>
    <xf numFmtId="0" fontId="96" fillId="23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43" fontId="35" fillId="0" borderId="0" applyFont="0" applyFill="0" applyBorder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23" fillId="23" borderId="43" applyNumberFormat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89" fillId="17" borderId="43" applyNumberFormat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23" fillId="23" borderId="32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6" fillId="14" borderId="32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8" borderId="32" applyNumberFormat="0" applyAlignment="0" applyProtection="0"/>
    <xf numFmtId="0" fontId="89" fillId="17" borderId="32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0" borderId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5" fillId="10" borderId="33" applyNumberFormat="0" applyFont="0" applyAlignment="0" applyProtection="0"/>
    <xf numFmtId="0" fontId="65" fillId="10" borderId="33" applyNumberFormat="0" applyFont="0" applyAlignment="0" applyProtection="0"/>
    <xf numFmtId="0" fontId="65" fillId="10" borderId="33" applyNumberFormat="0" applyFont="0" applyAlignment="0" applyProtection="0"/>
    <xf numFmtId="0" fontId="65" fillId="10" borderId="33" applyNumberFormat="0" applyFont="0" applyAlignment="0" applyProtection="0"/>
    <xf numFmtId="0" fontId="65" fillId="10" borderId="33" applyNumberFormat="0" applyFont="0" applyAlignment="0" applyProtection="0"/>
    <xf numFmtId="0" fontId="35" fillId="35" borderId="25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35" fillId="35" borderId="25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35" fillId="35" borderId="25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55" fillId="10" borderId="33" applyNumberFormat="0" applyFont="0" applyAlignment="0" applyProtection="0"/>
    <xf numFmtId="0" fontId="35" fillId="35" borderId="25" applyNumberFormat="0" applyFont="0" applyAlignment="0" applyProtection="0"/>
    <xf numFmtId="0" fontId="35" fillId="35" borderId="25" applyNumberFormat="0" applyFont="0" applyAlignment="0" applyProtection="0"/>
    <xf numFmtId="0" fontId="65" fillId="10" borderId="33" applyNumberFormat="0" applyFont="0" applyAlignment="0" applyProtection="0"/>
    <xf numFmtId="0" fontId="94" fillId="10" borderId="33" applyNumberFormat="0" applyFont="0" applyAlignment="0" applyProtection="0"/>
    <xf numFmtId="0" fontId="96" fillId="23" borderId="34" applyNumberFormat="0" applyAlignment="0" applyProtection="0"/>
    <xf numFmtId="9" fontId="35" fillId="0" borderId="0" applyFont="0" applyFill="0" applyBorder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34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23" borderId="45" applyNumberFormat="0" applyAlignment="0" applyProtection="0"/>
    <xf numFmtId="0" fontId="96" fillId="23" borderId="45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72" fillId="10" borderId="44" applyNumberFormat="0" applyFont="0" applyAlignment="0" applyProtection="0"/>
    <xf numFmtId="0" fontId="72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23" borderId="43" applyNumberFormat="0" applyAlignment="0" applyProtection="0"/>
    <xf numFmtId="0" fontId="86" fillId="23" borderId="43" applyNumberFormat="0" applyAlignment="0" applyProtection="0"/>
    <xf numFmtId="171" fontId="55" fillId="0" borderId="0" applyFill="0" applyBorder="0" applyAlignment="0" applyProtection="0"/>
    <xf numFmtId="0" fontId="143" fillId="0" borderId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6" borderId="14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142" fillId="0" borderId="39" applyNumberForma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123" fillId="23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142" fillId="0" borderId="39" applyNumberFormat="0" applyFill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87" fillId="6" borderId="14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142" fillId="0" borderId="39" applyNumberFormat="0" applyFill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6" fillId="23" borderId="35" applyNumberFormat="0" applyAlignment="0" applyProtection="0"/>
    <xf numFmtId="0" fontId="86" fillId="23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55" fillId="10" borderId="41" applyNumberFormat="0" applyFont="0" applyAlignment="0" applyProtection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2" fillId="10" borderId="36" applyNumberFormat="0" applyFont="0" applyAlignment="0" applyProtection="0"/>
    <xf numFmtId="0" fontId="72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14" borderId="14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96" fillId="23" borderId="37" applyNumberFormat="0" applyAlignment="0" applyProtection="0"/>
    <xf numFmtId="0" fontId="96" fillId="23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142" fillId="0" borderId="39" applyNumberFormat="0" applyFill="0" applyAlignment="0" applyProtection="0"/>
    <xf numFmtId="0" fontId="96" fillId="14" borderId="42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55" fillId="10" borderId="41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55" fillId="0" borderId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7" fillId="6" borderId="14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65" fillId="10" borderId="41" applyNumberFormat="0" applyFon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55" fillId="10" borderId="41" applyNumberFormat="0" applyFont="0" applyAlignment="0" applyProtection="0"/>
    <xf numFmtId="0" fontId="86" fillId="14" borderId="40" applyNumberForma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123" fillId="23" borderId="35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86" fillId="14" borderId="35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89" fillId="8" borderId="35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65" fillId="10" borderId="41" applyNumberFormat="0" applyFont="0" applyAlignment="0" applyProtection="0"/>
    <xf numFmtId="0" fontId="94" fillId="10" borderId="41" applyNumberFormat="0" applyFont="0" applyAlignment="0" applyProtection="0"/>
    <xf numFmtId="0" fontId="86" fillId="14" borderId="40" applyNumberFormat="0" applyAlignment="0" applyProtection="0"/>
    <xf numFmtId="0" fontId="89" fillId="17" borderId="35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55" fillId="10" borderId="41" applyNumberFormat="0" applyFont="0" applyAlignment="0" applyProtection="0"/>
    <xf numFmtId="0" fontId="72" fillId="10" borderId="41" applyNumberFormat="0" applyFont="0" applyAlignment="0" applyProtection="0"/>
    <xf numFmtId="0" fontId="72" fillId="10" borderId="41" applyNumberFormat="0" applyFon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7" fillId="6" borderId="14" applyNumberFormat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23" borderId="40" applyNumberFormat="0" applyAlignment="0" applyProtection="0"/>
    <xf numFmtId="0" fontId="86" fillId="23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65" fillId="10" borderId="36" applyNumberFormat="0" applyFont="0" applyAlignment="0" applyProtection="0"/>
    <xf numFmtId="0" fontId="65" fillId="10" borderId="36" applyNumberFormat="0" applyFont="0" applyAlignment="0" applyProtection="0"/>
    <xf numFmtId="0" fontId="65" fillId="10" borderId="36" applyNumberFormat="0" applyFont="0" applyAlignment="0" applyProtection="0"/>
    <xf numFmtId="0" fontId="65" fillId="10" borderId="36" applyNumberFormat="0" applyFont="0" applyAlignment="0" applyProtection="0"/>
    <xf numFmtId="0" fontId="65" fillId="10" borderId="36" applyNumberFormat="0" applyFont="0" applyAlignment="0" applyProtection="0"/>
    <xf numFmtId="0" fontId="55" fillId="10" borderId="41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86" fillId="14" borderId="40" applyNumberForma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86" fillId="14" borderId="40" applyNumberForma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55" fillId="10" borderId="36" applyNumberFormat="0" applyFont="0" applyAlignment="0" applyProtection="0"/>
    <xf numFmtId="0" fontId="89" fillId="8" borderId="40" applyNumberFormat="0" applyAlignment="0" applyProtection="0"/>
    <xf numFmtId="0" fontId="65" fillId="10" borderId="36" applyNumberFormat="0" applyFont="0" applyAlignment="0" applyProtection="0"/>
    <xf numFmtId="0" fontId="86" fillId="14" borderId="40" applyNumberFormat="0" applyAlignment="0" applyProtection="0"/>
    <xf numFmtId="0" fontId="94" fillId="10" borderId="36" applyNumberFormat="0" applyFont="0" applyAlignment="0" applyProtection="0"/>
    <xf numFmtId="0" fontId="55" fillId="10" borderId="41" applyNumberFormat="0" applyFont="0" applyAlignment="0" applyProtection="0"/>
    <xf numFmtId="0" fontId="96" fillId="23" borderId="37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6" borderId="14" applyNumberFormat="0" applyAlignment="0" applyProtection="0"/>
    <xf numFmtId="0" fontId="87" fillId="14" borderId="14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96" fillId="23" borderId="42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123" fillId="23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96" fillId="14" borderId="37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6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55" fillId="0" borderId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142" fillId="0" borderId="38" applyNumberFormat="0" applyFill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71" fillId="0" borderId="13" applyNumberFormat="0" applyFont="0" applyFill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71" fillId="0" borderId="13" applyNumberFormat="0" applyFont="0" applyFill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17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7" fillId="6" borderId="14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123" fillId="23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17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55" fillId="10" borderId="41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6" borderId="14" applyNumberFormat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6" fillId="23" borderId="42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55" fillId="10" borderId="41" applyNumberFormat="0" applyFont="0" applyAlignment="0" applyProtection="0"/>
    <xf numFmtId="0" fontId="72" fillId="10" borderId="41" applyNumberFormat="0" applyFont="0" applyAlignment="0" applyProtection="0"/>
    <xf numFmtId="0" fontId="72" fillId="10" borderId="41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7" fillId="6" borderId="14" applyNumberFormat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23" borderId="40" applyNumberFormat="0" applyAlignment="0" applyProtection="0"/>
    <xf numFmtId="0" fontId="86" fillId="23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9" fillId="17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55" fillId="10" borderId="41" applyNumberFormat="0" applyFont="0" applyAlignment="0" applyProtection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55" fillId="0" borderId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89" fillId="8" borderId="40" applyNumberFormat="0" applyAlignment="0" applyProtection="0"/>
    <xf numFmtId="0" fontId="55" fillId="0" borderId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65" fillId="10" borderId="41" applyNumberFormat="0" applyFont="0" applyAlignment="0" applyProtection="0"/>
    <xf numFmtId="0" fontId="94" fillId="10" borderId="41" applyNumberFormat="0" applyFont="0" applyAlignment="0" applyProtection="0"/>
    <xf numFmtId="0" fontId="96" fillId="23" borderId="42" applyNumberFormat="0" applyAlignment="0" applyProtection="0"/>
    <xf numFmtId="0" fontId="87" fillId="6" borderId="14" applyNumberFormat="0" applyAlignment="0" applyProtection="0"/>
    <xf numFmtId="0" fontId="87" fillId="14" borderId="14" applyNumberFormat="0" applyAlignment="0" applyProtection="0"/>
    <xf numFmtId="0" fontId="87" fillId="14" borderId="14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72" fillId="10" borderId="41" applyNumberFormat="0" applyFont="0" applyAlignment="0" applyProtection="0"/>
    <xf numFmtId="0" fontId="72" fillId="10" borderId="41" applyNumberFormat="0" applyFon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9" fillId="8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14" borderId="40" applyNumberFormat="0" applyAlignment="0" applyProtection="0"/>
    <xf numFmtId="0" fontId="86" fillId="23" borderId="40" applyNumberFormat="0" applyAlignment="0" applyProtection="0"/>
    <xf numFmtId="0" fontId="86" fillId="23" borderId="40" applyNumberFormat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6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55" fillId="10" borderId="41" applyNumberFormat="0" applyFont="0" applyAlignment="0" applyProtection="0"/>
    <xf numFmtId="0" fontId="65" fillId="10" borderId="41" applyNumberFormat="0" applyFont="0" applyAlignment="0" applyProtection="0"/>
    <xf numFmtId="0" fontId="94" fillId="10" borderId="41" applyNumberFormat="0" applyFont="0" applyAlignment="0" applyProtection="0"/>
    <xf numFmtId="0" fontId="96" fillId="23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96" fillId="14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142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65" fillId="10" borderId="44" applyNumberFormat="0" applyFont="0" applyAlignment="0" applyProtection="0"/>
    <xf numFmtId="0" fontId="94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23" fillId="23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142" fillId="0" borderId="46" applyNumberFormat="0" applyFill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6" fillId="23" borderId="43" applyNumberFormat="0" applyAlignment="0" applyProtection="0"/>
    <xf numFmtId="0" fontId="86" fillId="23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72" fillId="10" borderId="44" applyNumberFormat="0" applyFont="0" applyAlignment="0" applyProtection="0"/>
    <xf numFmtId="0" fontId="72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96" fillId="23" borderId="45" applyNumberForma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142" fillId="0" borderId="46" applyNumberFormat="0" applyFill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123" fillId="23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65" fillId="10" borderId="44" applyNumberFormat="0" applyFont="0" applyAlignment="0" applyProtection="0"/>
    <xf numFmtId="0" fontId="94" fillId="10" borderId="44" applyNumberFormat="0" applyFont="0" applyAlignment="0" applyProtection="0"/>
    <xf numFmtId="0" fontId="86" fillId="14" borderId="43" applyNumberFormat="0" applyAlignment="0" applyProtection="0"/>
    <xf numFmtId="0" fontId="89" fillId="17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55" fillId="10" borderId="44" applyNumberFormat="0" applyFont="0" applyAlignment="0" applyProtection="0"/>
    <xf numFmtId="0" fontId="72" fillId="10" borderId="44" applyNumberFormat="0" applyFont="0" applyAlignment="0" applyProtection="0"/>
    <xf numFmtId="0" fontId="72" fillId="10" borderId="44" applyNumberFormat="0" applyFon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23" borderId="43" applyNumberFormat="0" applyAlignment="0" applyProtection="0"/>
    <xf numFmtId="0" fontId="86" fillId="23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65" fillId="10" borderId="44" applyNumberFormat="0" applyFont="0" applyAlignment="0" applyProtection="0"/>
    <xf numFmtId="0" fontId="86" fillId="14" borderId="43" applyNumberFormat="0" applyAlignment="0" applyProtection="0"/>
    <xf numFmtId="0" fontId="94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23" borderId="45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96" fillId="23" borderId="45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23" fillId="23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17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123" fillId="23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17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55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96" fillId="23" borderId="45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55" fillId="10" borderId="44" applyNumberFormat="0" applyFont="0" applyAlignment="0" applyProtection="0"/>
    <xf numFmtId="0" fontId="72" fillId="10" borderId="44" applyNumberFormat="0" applyFont="0" applyAlignment="0" applyProtection="0"/>
    <xf numFmtId="0" fontId="72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23" borderId="43" applyNumberFormat="0" applyAlignment="0" applyProtection="0"/>
    <xf numFmtId="0" fontId="86" fillId="23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17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55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9" fillId="8" borderId="43" applyNumberForma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65" fillId="10" borderId="44" applyNumberFormat="0" applyFont="0" applyAlignment="0" applyProtection="0"/>
    <xf numFmtId="0" fontId="94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72" fillId="10" borderId="44" applyNumberFormat="0" applyFont="0" applyAlignment="0" applyProtection="0"/>
    <xf numFmtId="0" fontId="72" fillId="10" borderId="44" applyNumberFormat="0" applyFon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9" fillId="8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14" borderId="43" applyNumberFormat="0" applyAlignment="0" applyProtection="0"/>
    <xf numFmtId="0" fontId="86" fillId="23" borderId="43" applyNumberFormat="0" applyAlignment="0" applyProtection="0"/>
    <xf numFmtId="0" fontId="86" fillId="23" borderId="43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6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55" fillId="10" borderId="44" applyNumberFormat="0" applyFont="0" applyAlignment="0" applyProtection="0"/>
    <xf numFmtId="0" fontId="65" fillId="10" borderId="44" applyNumberFormat="0" applyFont="0" applyAlignment="0" applyProtection="0"/>
    <xf numFmtId="0" fontId="94" fillId="10" borderId="44" applyNumberFormat="0" applyFont="0" applyAlignment="0" applyProtection="0"/>
    <xf numFmtId="0" fontId="96" fillId="23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96" fillId="14" borderId="45" applyNumberFormat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142" fillId="0" borderId="46" applyNumberFormat="0" applyFill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43" fontId="60" fillId="0" borderId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72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4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72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89" fillId="8" borderId="53" applyNumberFormat="0" applyAlignment="0" applyProtection="0"/>
    <xf numFmtId="167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31" fillId="0" borderId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89" fillId="8" borderId="53" applyNumberFormat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89" fillId="8" borderId="53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89" fillId="8" borderId="53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6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6" fillId="14" borderId="53" applyNumberFormat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31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89" fillId="8" borderId="53" applyNumberFormat="0" applyAlignment="0" applyProtection="0"/>
    <xf numFmtId="43" fontId="55" fillId="0" borderId="0" applyFont="0" applyFill="0" applyBorder="0" applyAlignment="0" applyProtection="0"/>
    <xf numFmtId="0" fontId="89" fillId="8" borderId="53" applyNumberFormat="0" applyAlignment="0" applyProtection="0"/>
    <xf numFmtId="0" fontId="31" fillId="0" borderId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96" fillId="14" borderId="56" applyNumberFormat="0" applyAlignment="0" applyProtection="0"/>
    <xf numFmtId="0" fontId="31" fillId="37" borderId="0" applyNumberFormat="0" applyBorder="0" applyAlignment="0" applyProtection="0"/>
    <xf numFmtId="0" fontId="96" fillId="14" borderId="56" applyNumberFormat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96" fillId="14" borderId="56" applyNumberFormat="0" applyAlignment="0" applyProtection="0"/>
    <xf numFmtId="0" fontId="31" fillId="41" borderId="0" applyNumberFormat="0" applyBorder="0" applyAlignment="0" applyProtection="0"/>
    <xf numFmtId="0" fontId="96" fillId="14" borderId="56" applyNumberFormat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96" fillId="14" borderId="56" applyNumberFormat="0" applyAlignment="0" applyProtection="0"/>
    <xf numFmtId="0" fontId="31" fillId="45" borderId="0" applyNumberFormat="0" applyBorder="0" applyAlignment="0" applyProtection="0"/>
    <xf numFmtId="0" fontId="96" fillId="14" borderId="56" applyNumberFormat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96" fillId="14" borderId="56" applyNumberFormat="0" applyAlignment="0" applyProtection="0"/>
    <xf numFmtId="0" fontId="31" fillId="49" borderId="0" applyNumberFormat="0" applyBorder="0" applyAlignment="0" applyProtection="0"/>
    <xf numFmtId="0" fontId="96" fillId="14" borderId="56" applyNumberFormat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96" fillId="14" borderId="56" applyNumberFormat="0" applyAlignment="0" applyProtection="0"/>
    <xf numFmtId="0" fontId="31" fillId="53" borderId="0" applyNumberFormat="0" applyBorder="0" applyAlignment="0" applyProtection="0"/>
    <xf numFmtId="0" fontId="96" fillId="14" borderId="56" applyNumberFormat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96" fillId="14" borderId="56" applyNumberFormat="0" applyAlignment="0" applyProtection="0"/>
    <xf numFmtId="0" fontId="31" fillId="57" borderId="0" applyNumberFormat="0" applyBorder="0" applyAlignment="0" applyProtection="0"/>
    <xf numFmtId="0" fontId="96" fillId="14" borderId="56" applyNumberFormat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96" fillId="14" borderId="56" applyNumberFormat="0" applyAlignment="0" applyProtection="0"/>
    <xf numFmtId="0" fontId="31" fillId="38" borderId="0" applyNumberFormat="0" applyBorder="0" applyAlignment="0" applyProtection="0"/>
    <xf numFmtId="0" fontId="96" fillId="14" borderId="56" applyNumberFormat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96" fillId="23" borderId="56" applyNumberFormat="0" applyAlignment="0" applyProtection="0"/>
    <xf numFmtId="0" fontId="94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5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87" fillId="6" borderId="47" applyNumberForma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32" fillId="0" borderId="0" applyFont="0" applyFill="0" applyBorder="0" applyAlignment="0" applyProtection="0"/>
    <xf numFmtId="0" fontId="31" fillId="0" borderId="0"/>
    <xf numFmtId="0" fontId="89" fillId="17" borderId="53" applyNumberFormat="0" applyAlignment="0" applyProtection="0"/>
    <xf numFmtId="0" fontId="31" fillId="0" borderId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9" fillId="8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1" fillId="35" borderId="25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31" fillId="35" borderId="25" applyNumberFormat="0" applyFon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123" fillId="23" borderId="53" applyNumberFormat="0" applyAlignment="0" applyProtection="0"/>
    <xf numFmtId="0" fontId="31" fillId="35" borderId="25" applyNumberFormat="0" applyFont="0" applyAlignment="0" applyProtection="0"/>
    <xf numFmtId="0" fontId="31" fillId="35" borderId="25" applyNumberFormat="0" applyFont="0" applyAlignment="0" applyProtection="0"/>
    <xf numFmtId="0" fontId="31" fillId="35" borderId="25" applyNumberFormat="0" applyFont="0" applyAlignment="0" applyProtection="0"/>
    <xf numFmtId="9" fontId="31" fillId="0" borderId="0" applyFont="0" applyFill="0" applyBorder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23" borderId="56" applyNumberFormat="0" applyAlignment="0" applyProtection="0"/>
    <xf numFmtId="0" fontId="96" fillId="23" borderId="56" applyNumberForma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55" fillId="10" borderId="55" applyNumberFormat="0" applyFont="0" applyAlignment="0" applyProtection="0"/>
    <xf numFmtId="0" fontId="72" fillId="10" borderId="55" applyNumberFormat="0" applyFont="0" applyAlignment="0" applyProtection="0"/>
    <xf numFmtId="0" fontId="72" fillId="10" borderId="55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23" borderId="53" applyNumberFormat="0" applyAlignment="0" applyProtection="0"/>
    <xf numFmtId="0" fontId="86" fillId="23" borderId="53" applyNumberFormat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55" fillId="0" borderId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31" fillId="0" borderId="0"/>
    <xf numFmtId="0" fontId="55" fillId="0" borderId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167" fontId="55" fillId="0" borderId="0" applyFont="0" applyFill="0" applyBorder="0" applyAlignment="0" applyProtection="0"/>
    <xf numFmtId="0" fontId="86" fillId="14" borderId="50" applyNumberFormat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3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4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0" fontId="86" fillId="14" borderId="50" applyNumberFormat="0" applyAlignment="0" applyProtection="0"/>
    <xf numFmtId="43" fontId="31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86" fillId="14" borderId="50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86" fillId="14" borderId="50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86" fillId="14" borderId="50" applyNumberFormat="0" applyAlignment="0" applyProtection="0"/>
    <xf numFmtId="0" fontId="31" fillId="0" borderId="0"/>
    <xf numFmtId="0" fontId="86" fillId="14" borderId="50" applyNumberFormat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0" borderId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43" fontId="31" fillId="0" borderId="0" applyFont="0" applyFill="0" applyBorder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89" fillId="17" borderId="50" applyNumberFormat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31" fillId="35" borderId="25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31" fillId="35" borderId="25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31" fillId="35" borderId="25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31" fillId="35" borderId="25" applyNumberFormat="0" applyFont="0" applyAlignment="0" applyProtection="0"/>
    <xf numFmtId="0" fontId="31" fillId="35" borderId="25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9" fontId="31" fillId="0" borderId="0" applyFont="0" applyFill="0" applyBorder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165" fontId="55" fillId="0" borderId="0" applyFill="0" applyBorder="0" applyAlignment="0" applyProtection="0"/>
    <xf numFmtId="0" fontId="55" fillId="0" borderId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87" fillId="6" borderId="47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3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123" fillId="23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86" fillId="14" borderId="50" applyNumberFormat="0" applyAlignment="0" applyProtection="0"/>
    <xf numFmtId="0" fontId="94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3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23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3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3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42" fillId="0" borderId="49" applyNumberFormat="0" applyFill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123" fillId="23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86" fillId="14" borderId="50" applyNumberFormat="0" applyAlignment="0" applyProtection="0"/>
    <xf numFmtId="0" fontId="94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3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23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5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55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55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142" fillId="0" borderId="49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65" fillId="8" borderId="0" applyNumberFormat="0" applyBorder="0" applyAlignment="0" applyProtection="0"/>
    <xf numFmtId="179" fontId="55" fillId="0" borderId="0"/>
    <xf numFmtId="186" fontId="55" fillId="0" borderId="0"/>
    <xf numFmtId="179" fontId="55" fillId="0" borderId="0"/>
    <xf numFmtId="0" fontId="55" fillId="0" borderId="0"/>
    <xf numFmtId="9" fontId="55" fillId="0" borderId="0"/>
    <xf numFmtId="0" fontId="31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142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87" fillId="6" borderId="54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7" fillId="6" borderId="54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123" fillId="23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86" fillId="14" borderId="59" applyNumberFormat="0" applyAlignment="0" applyProtection="0"/>
    <xf numFmtId="0" fontId="94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23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42" fillId="0" borderId="62" applyNumberFormat="0" applyFill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123" fillId="23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86" fillId="14" borderId="59" applyNumberFormat="0" applyAlignment="0" applyProtection="0"/>
    <xf numFmtId="0" fontId="94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3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23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5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55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55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142" fillId="0" borderId="62" applyNumberFormat="0" applyFill="0" applyAlignment="0" applyProtection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179" fontId="55" fillId="0" borderId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144" fillId="0" borderId="0" applyNumberFormat="0" applyFill="0" applyBorder="0" applyAlignment="0" applyProtection="0"/>
    <xf numFmtId="0" fontId="55" fillId="0" borderId="0"/>
    <xf numFmtId="43" fontId="27" fillId="0" borderId="0" applyFont="0" applyFill="0" applyBorder="0" applyAlignment="0" applyProtection="0"/>
    <xf numFmtId="0" fontId="27" fillId="0" borderId="0"/>
    <xf numFmtId="43" fontId="55" fillId="0" borderId="0" applyFont="0" applyFill="0" applyBorder="0" applyAlignment="0" applyProtection="0"/>
    <xf numFmtId="0" fontId="55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169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169" fontId="22" fillId="0" borderId="0" applyFont="0" applyFill="0" applyBorder="0" applyAlignment="0" applyProtection="0"/>
    <xf numFmtId="0" fontId="22" fillId="0" borderId="0"/>
    <xf numFmtId="0" fontId="22" fillId="0" borderId="0"/>
    <xf numFmtId="169" fontId="22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20" fillId="0" borderId="0"/>
    <xf numFmtId="0" fontId="20" fillId="0" borderId="0"/>
    <xf numFmtId="0" fontId="147" fillId="0" borderId="0" applyNumberFormat="0" applyFill="0" applyBorder="0" applyAlignment="0" applyProtection="0"/>
    <xf numFmtId="0" fontId="110" fillId="0" borderId="18" applyNumberFormat="0" applyFill="0" applyAlignment="0" applyProtection="0"/>
    <xf numFmtId="0" fontId="111" fillId="0" borderId="19" applyNumberFormat="0" applyFill="0" applyAlignment="0" applyProtection="0"/>
    <xf numFmtId="0" fontId="112" fillId="0" borderId="20" applyNumberFormat="0" applyFill="0" applyAlignment="0" applyProtection="0"/>
    <xf numFmtId="0" fontId="112" fillId="0" borderId="0" applyNumberFormat="0" applyFill="0" applyBorder="0" applyAlignment="0" applyProtection="0"/>
    <xf numFmtId="0" fontId="113" fillId="29" borderId="0" applyNumberFormat="0" applyBorder="0" applyAlignment="0" applyProtection="0"/>
    <xf numFmtId="0" fontId="114" fillId="30" borderId="0" applyNumberFormat="0" applyBorder="0" applyAlignment="0" applyProtection="0"/>
    <xf numFmtId="0" fontId="115" fillId="31" borderId="0" applyNumberFormat="0" applyBorder="0" applyAlignment="0" applyProtection="0"/>
    <xf numFmtId="0" fontId="116" fillId="32" borderId="21" applyNumberFormat="0" applyAlignment="0" applyProtection="0"/>
    <xf numFmtId="0" fontId="117" fillId="33" borderId="22" applyNumberFormat="0" applyAlignment="0" applyProtection="0"/>
    <xf numFmtId="0" fontId="118" fillId="33" borderId="21" applyNumberFormat="0" applyAlignment="0" applyProtection="0"/>
    <xf numFmtId="0" fontId="119" fillId="0" borderId="23" applyNumberFormat="0" applyFill="0" applyAlignment="0" applyProtection="0"/>
    <xf numFmtId="0" fontId="82" fillId="34" borderId="24" applyNumberFormat="0" applyAlignment="0" applyProtection="0"/>
    <xf numFmtId="0" fontId="108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81" fillId="0" borderId="26" applyNumberFormat="0" applyFill="0" applyAlignment="0" applyProtection="0"/>
    <xf numFmtId="0" fontId="121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21" fillId="39" borderId="0" applyNumberFormat="0" applyBorder="0" applyAlignment="0" applyProtection="0"/>
    <xf numFmtId="0" fontId="121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21" fillId="43" borderId="0" applyNumberFormat="0" applyBorder="0" applyAlignment="0" applyProtection="0"/>
    <xf numFmtId="0" fontId="121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21" fillId="47" borderId="0" applyNumberFormat="0" applyBorder="0" applyAlignment="0" applyProtection="0"/>
    <xf numFmtId="0" fontId="121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21" fillId="51" borderId="0" applyNumberFormat="0" applyBorder="0" applyAlignment="0" applyProtection="0"/>
    <xf numFmtId="0" fontId="121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54" borderId="0" applyNumberFormat="0" applyBorder="0" applyAlignment="0" applyProtection="0"/>
    <xf numFmtId="0" fontId="121" fillId="55" borderId="0" applyNumberFormat="0" applyBorder="0" applyAlignment="0" applyProtection="0"/>
    <xf numFmtId="0" fontId="121" fillId="56" borderId="0" applyNumberFormat="0" applyBorder="0" applyAlignment="0" applyProtection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121" fillId="59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5" borderId="2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35" borderId="25" applyNumberFormat="0" applyFont="0" applyAlignment="0" applyProtection="0"/>
    <xf numFmtId="0" fontId="18" fillId="0" borderId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0" borderId="0"/>
    <xf numFmtId="0" fontId="18" fillId="57" borderId="0" applyNumberFormat="0" applyBorder="0" applyAlignment="0" applyProtection="0"/>
    <xf numFmtId="0" fontId="18" fillId="58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17" fillId="35" borderId="25" applyNumberFormat="0" applyFont="0" applyAlignment="0" applyProtection="0"/>
    <xf numFmtId="0" fontId="17" fillId="0" borderId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3" borderId="0" applyNumberFormat="0" applyBorder="0" applyAlignment="0" applyProtection="0"/>
    <xf numFmtId="0" fontId="17" fillId="54" borderId="0" applyNumberFormat="0" applyBorder="0" applyAlignment="0" applyProtection="0"/>
    <xf numFmtId="0" fontId="17" fillId="57" borderId="0" applyNumberFormat="0" applyBorder="0" applyAlignment="0" applyProtection="0"/>
    <xf numFmtId="0" fontId="17" fillId="58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35" borderId="25" applyNumberFormat="0" applyFont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9" borderId="0" applyNumberFormat="0" applyBorder="0" applyAlignment="0" applyProtection="0"/>
    <xf numFmtId="0" fontId="16" fillId="50" borderId="0" applyNumberFormat="0" applyBorder="0" applyAlignment="0" applyProtection="0"/>
    <xf numFmtId="0" fontId="16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7" borderId="0" applyNumberFormat="0" applyBorder="0" applyAlignment="0" applyProtection="0"/>
    <xf numFmtId="0" fontId="16" fillId="58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35" borderId="25" applyNumberFormat="0" applyFont="0" applyAlignment="0" applyProtection="0"/>
    <xf numFmtId="0" fontId="14" fillId="0" borderId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3" borderId="0" applyNumberFormat="0" applyBorder="0" applyAlignment="0" applyProtection="0"/>
    <xf numFmtId="0" fontId="14" fillId="54" borderId="0" applyNumberFormat="0" applyBorder="0" applyAlignment="0" applyProtection="0"/>
    <xf numFmtId="0" fontId="14" fillId="0" borderId="0"/>
    <xf numFmtId="0" fontId="14" fillId="57" borderId="0" applyNumberFormat="0" applyBorder="0" applyAlignment="0" applyProtection="0"/>
    <xf numFmtId="0" fontId="14" fillId="58" borderId="0" applyNumberFormat="0" applyBorder="0" applyAlignment="0" applyProtection="0"/>
    <xf numFmtId="0" fontId="13" fillId="0" borderId="0"/>
    <xf numFmtId="0" fontId="12" fillId="0" borderId="0"/>
    <xf numFmtId="0" fontId="8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2" fillId="0" borderId="0"/>
    <xf numFmtId="43" fontId="7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8" fillId="0" borderId="0"/>
    <xf numFmtId="0" fontId="7" fillId="0" borderId="0"/>
    <xf numFmtId="44" fontId="80" fillId="0" borderId="0" applyFont="0" applyFill="0" applyBorder="0" applyAlignment="0" applyProtection="0"/>
    <xf numFmtId="0" fontId="6" fillId="0" borderId="0"/>
    <xf numFmtId="0" fontId="80" fillId="0" borderId="0"/>
    <xf numFmtId="0" fontId="80" fillId="0" borderId="0"/>
    <xf numFmtId="169" fontId="5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4" fillId="0" borderId="0"/>
    <xf numFmtId="43" fontId="8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65" fillId="0" borderId="0" applyFont="0" applyFill="0" applyBorder="0" applyAlignment="0" applyProtection="0"/>
    <xf numFmtId="0" fontId="1" fillId="0" borderId="0"/>
    <xf numFmtId="0" fontId="1" fillId="0" borderId="0"/>
    <xf numFmtId="0" fontId="122" fillId="0" borderId="0"/>
  </cellStyleXfs>
  <cellXfs count="211">
    <xf numFmtId="0" fontId="0" fillId="0" borderId="0" xfId="0"/>
    <xf numFmtId="0" fontId="55" fillId="0" borderId="0" xfId="0" applyFont="1"/>
    <xf numFmtId="0" fontId="55" fillId="0" borderId="65" xfId="0" applyFont="1" applyBorder="1" applyAlignment="1">
      <alignment horizontal="center"/>
    </xf>
    <xf numFmtId="0" fontId="55" fillId="0" borderId="65" xfId="0" applyFont="1" applyBorder="1"/>
    <xf numFmtId="0" fontId="55" fillId="3" borderId="0" xfId="148" applyFill="1"/>
    <xf numFmtId="169" fontId="78" fillId="3" borderId="0" xfId="140" applyFont="1" applyFill="1" applyAlignment="1">
      <alignment vertical="center"/>
    </xf>
    <xf numFmtId="0" fontId="55" fillId="0" borderId="0" xfId="0" applyFont="1" applyAlignment="1">
      <alignment horizontal="center"/>
    </xf>
    <xf numFmtId="0" fontId="78" fillId="3" borderId="0" xfId="148" applyFont="1" applyFill="1" applyAlignment="1">
      <alignment vertical="center"/>
    </xf>
    <xf numFmtId="0" fontId="0" fillId="3" borderId="69" xfId="0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0" fontId="145" fillId="61" borderId="65" xfId="0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78" fillId="3" borderId="0" xfId="148" applyFont="1" applyFill="1" applyAlignment="1">
      <alignment horizontal="left" vertical="center"/>
    </xf>
    <xf numFmtId="0" fontId="78" fillId="3" borderId="0" xfId="148" applyFont="1" applyFill="1" applyAlignment="1">
      <alignment horizontal="center" vertical="center"/>
    </xf>
    <xf numFmtId="0" fontId="58" fillId="3" borderId="0" xfId="148" applyFont="1" applyFill="1" applyAlignment="1">
      <alignment horizontal="center" vertical="center"/>
    </xf>
    <xf numFmtId="169" fontId="0" fillId="3" borderId="69" xfId="140" applyFont="1" applyFill="1" applyBorder="1" applyAlignment="1">
      <alignment horizontal="center" vertical="center"/>
    </xf>
    <xf numFmtId="175" fontId="78" fillId="3" borderId="0" xfId="140" applyNumberFormat="1" applyFont="1" applyFill="1" applyAlignment="1">
      <alignment vertical="center"/>
    </xf>
    <xf numFmtId="192" fontId="78" fillId="3" borderId="69" xfId="140" applyNumberFormat="1" applyFont="1" applyFill="1" applyBorder="1" applyAlignment="1">
      <alignment horizontal="center" vertical="center"/>
    </xf>
    <xf numFmtId="169" fontId="78" fillId="3" borderId="69" xfId="148" applyNumberFormat="1" applyFont="1" applyFill="1" applyBorder="1" applyAlignment="1">
      <alignment horizontal="center" vertical="center"/>
    </xf>
    <xf numFmtId="175" fontId="78" fillId="3" borderId="69" xfId="140" applyNumberFormat="1" applyFont="1" applyFill="1" applyBorder="1" applyAlignment="1">
      <alignment horizontal="center" vertical="center"/>
    </xf>
    <xf numFmtId="0" fontId="78" fillId="3" borderId="69" xfId="148" applyFont="1" applyFill="1" applyBorder="1" applyAlignment="1">
      <alignment horizontal="center" vertical="center"/>
    </xf>
    <xf numFmtId="0" fontId="78" fillId="3" borderId="76" xfId="148" applyFont="1" applyFill="1" applyBorder="1" applyAlignment="1">
      <alignment vertical="center"/>
    </xf>
    <xf numFmtId="175" fontId="78" fillId="3" borderId="77" xfId="140" applyNumberFormat="1" applyFont="1" applyFill="1" applyBorder="1" applyAlignment="1">
      <alignment vertical="center"/>
    </xf>
    <xf numFmtId="0" fontId="78" fillId="3" borderId="89" xfId="148" applyFont="1" applyFill="1" applyBorder="1" applyAlignment="1">
      <alignment horizontal="center" vertical="center"/>
    </xf>
    <xf numFmtId="175" fontId="78" fillId="3" borderId="69" xfId="148" applyNumberFormat="1" applyFont="1" applyFill="1" applyBorder="1" applyAlignment="1">
      <alignment vertical="center"/>
    </xf>
    <xf numFmtId="175" fontId="78" fillId="3" borderId="78" xfId="140" applyNumberFormat="1" applyFont="1" applyFill="1" applyBorder="1" applyAlignment="1">
      <alignment vertical="center"/>
    </xf>
    <xf numFmtId="0" fontId="78" fillId="3" borderId="90" xfId="148" applyFont="1" applyFill="1" applyBorder="1" applyAlignment="1">
      <alignment vertical="center"/>
    </xf>
    <xf numFmtId="0" fontId="58" fillId="3" borderId="91" xfId="148" applyFont="1" applyFill="1" applyBorder="1" applyAlignment="1">
      <alignment horizontal="right" vertical="center"/>
    </xf>
    <xf numFmtId="175" fontId="58" fillId="3" borderId="91" xfId="148" applyNumberFormat="1" applyFont="1" applyFill="1" applyBorder="1" applyAlignment="1">
      <alignment horizontal="right" vertical="center"/>
    </xf>
    <xf numFmtId="192" fontId="78" fillId="3" borderId="91" xfId="140" applyNumberFormat="1" applyFont="1" applyFill="1" applyBorder="1" applyAlignment="1">
      <alignment horizontal="center" vertical="center"/>
    </xf>
    <xf numFmtId="0" fontId="58" fillId="3" borderId="91" xfId="148" applyFont="1" applyFill="1" applyBorder="1" applyAlignment="1">
      <alignment horizontal="center" vertical="center"/>
    </xf>
    <xf numFmtId="175" fontId="58" fillId="3" borderId="97" xfId="140" applyNumberFormat="1" applyFont="1" applyFill="1" applyBorder="1" applyAlignment="1">
      <alignment vertical="center"/>
    </xf>
    <xf numFmtId="0" fontId="55" fillId="3" borderId="0" xfId="0" applyFont="1" applyFill="1" applyAlignment="1">
      <alignment vertical="center"/>
    </xf>
    <xf numFmtId="169" fontId="78" fillId="3" borderId="0" xfId="140" applyFont="1" applyFill="1" applyBorder="1" applyAlignment="1">
      <alignment horizontal="center" vertical="center"/>
    </xf>
    <xf numFmtId="0" fontId="149" fillId="3" borderId="69" xfId="52311" applyFont="1" applyFill="1" applyBorder="1" applyAlignment="1">
      <alignment horizontal="center" vertical="center"/>
    </xf>
    <xf numFmtId="0" fontId="55" fillId="3" borderId="65" xfId="0" applyFont="1" applyFill="1" applyBorder="1" applyAlignment="1">
      <alignment vertical="center"/>
    </xf>
    <xf numFmtId="0" fontId="55" fillId="3" borderId="65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149" fillId="3" borderId="65" xfId="52311" applyFont="1" applyFill="1" applyBorder="1" applyAlignment="1">
      <alignment horizontal="center" vertical="center"/>
    </xf>
    <xf numFmtId="0" fontId="55" fillId="3" borderId="69" xfId="0" applyFont="1" applyFill="1" applyBorder="1" applyAlignment="1">
      <alignment horizontal="center" vertical="center"/>
    </xf>
    <xf numFmtId="0" fontId="55" fillId="3" borderId="0" xfId="0" applyFont="1" applyFill="1" applyAlignment="1">
      <alignment vertical="center" wrapText="1"/>
    </xf>
    <xf numFmtId="0" fontId="55" fillId="3" borderId="69" xfId="0" applyFont="1" applyFill="1" applyBorder="1" applyAlignment="1">
      <alignment vertical="center"/>
    </xf>
    <xf numFmtId="0" fontId="78" fillId="3" borderId="69" xfId="148" applyFont="1" applyFill="1" applyBorder="1" applyAlignment="1">
      <alignment horizontal="left" vertical="center"/>
    </xf>
    <xf numFmtId="0" fontId="78" fillId="3" borderId="0" xfId="52203" applyFont="1" applyFill="1" applyAlignment="1">
      <alignment horizontal="center" vertical="center"/>
    </xf>
    <xf numFmtId="194" fontId="78" fillId="3" borderId="80" xfId="149" applyNumberFormat="1" applyFont="1" applyFill="1" applyBorder="1" applyAlignment="1">
      <alignment horizontal="center" vertical="center"/>
    </xf>
    <xf numFmtId="0" fontId="58" fillId="3" borderId="80" xfId="148" applyFont="1" applyFill="1" applyBorder="1" applyAlignment="1">
      <alignment horizontal="center" vertical="center"/>
    </xf>
    <xf numFmtId="175" fontId="58" fillId="3" borderId="88" xfId="140" applyNumberFormat="1" applyFont="1" applyFill="1" applyBorder="1" applyAlignment="1">
      <alignment horizontal="center" vertical="center"/>
    </xf>
    <xf numFmtId="0" fontId="58" fillId="3" borderId="66" xfId="148" applyFont="1" applyFill="1" applyBorder="1" applyAlignment="1">
      <alignment horizontal="center" vertical="center"/>
    </xf>
    <xf numFmtId="0" fontId="58" fillId="3" borderId="79" xfId="148" applyFont="1" applyFill="1" applyBorder="1" applyAlignment="1">
      <alignment horizontal="center" vertical="center"/>
    </xf>
    <xf numFmtId="175" fontId="58" fillId="3" borderId="96" xfId="140" applyNumberFormat="1" applyFont="1" applyFill="1" applyBorder="1" applyAlignment="1">
      <alignment horizontal="center" vertical="center"/>
    </xf>
    <xf numFmtId="175" fontId="58" fillId="3" borderId="78" xfId="140" applyNumberFormat="1" applyFont="1" applyFill="1" applyBorder="1" applyAlignment="1">
      <alignment vertical="center"/>
    </xf>
    <xf numFmtId="169" fontId="55" fillId="3" borderId="0" xfId="140" applyFill="1" applyAlignment="1">
      <alignment horizontal="center" vertical="center"/>
    </xf>
    <xf numFmtId="0" fontId="0" fillId="3" borderId="0" xfId="0" applyFill="1" applyAlignment="1">
      <alignment vertical="center"/>
    </xf>
    <xf numFmtId="169" fontId="55" fillId="3" borderId="0" xfId="140" applyFill="1" applyAlignment="1">
      <alignment vertical="center"/>
    </xf>
    <xf numFmtId="169" fontId="78" fillId="3" borderId="0" xfId="140" applyFont="1" applyFill="1" applyAlignment="1">
      <alignment horizontal="center" vertical="center"/>
    </xf>
    <xf numFmtId="177" fontId="55" fillId="62" borderId="65" xfId="140" applyNumberFormat="1" applyFont="1" applyFill="1" applyBorder="1" applyAlignment="1">
      <alignment horizontal="center"/>
    </xf>
    <xf numFmtId="177" fontId="55" fillId="63" borderId="65" xfId="140" applyNumberFormat="1" applyFont="1" applyFill="1" applyBorder="1" applyAlignment="1">
      <alignment horizontal="center"/>
    </xf>
    <xf numFmtId="177" fontId="148" fillId="62" borderId="65" xfId="140" applyNumberFormat="1" applyFont="1" applyFill="1" applyBorder="1" applyAlignment="1">
      <alignment horizontal="center" vertical="center" wrapText="1"/>
    </xf>
    <xf numFmtId="177" fontId="148" fillId="63" borderId="65" xfId="140" applyNumberFormat="1" applyFont="1" applyFill="1" applyBorder="1" applyAlignment="1">
      <alignment horizontal="center" vertical="center" wrapText="1"/>
    </xf>
    <xf numFmtId="177" fontId="55" fillId="62" borderId="65" xfId="140" applyNumberFormat="1" applyFont="1" applyFill="1" applyBorder="1" applyAlignment="1">
      <alignment vertical="center"/>
    </xf>
    <xf numFmtId="177" fontId="55" fillId="63" borderId="65" xfId="140" applyNumberFormat="1" applyFont="1" applyFill="1" applyBorder="1" applyAlignment="1">
      <alignment vertical="center"/>
    </xf>
    <xf numFmtId="177" fontId="55" fillId="63" borderId="69" xfId="140" applyNumberFormat="1" applyFont="1" applyFill="1" applyBorder="1" applyAlignment="1">
      <alignment vertical="center"/>
    </xf>
    <xf numFmtId="177" fontId="55" fillId="3" borderId="69" xfId="140" applyNumberFormat="1" applyFont="1" applyFill="1" applyBorder="1" applyAlignment="1">
      <alignment vertical="center"/>
    </xf>
    <xf numFmtId="177" fontId="55" fillId="3" borderId="65" xfId="140" applyNumberFormat="1" applyFont="1" applyFill="1" applyBorder="1" applyAlignment="1">
      <alignment horizontal="center" vertical="center"/>
    </xf>
    <xf numFmtId="177" fontId="55" fillId="3" borderId="65" xfId="140" applyNumberFormat="1" applyFont="1" applyFill="1" applyBorder="1" applyAlignment="1">
      <alignment horizontal="center"/>
    </xf>
    <xf numFmtId="177" fontId="55" fillId="3" borderId="69" xfId="140" applyNumberFormat="1" applyFont="1" applyFill="1" applyBorder="1" applyAlignment="1">
      <alignment horizontal="center" vertical="center"/>
    </xf>
    <xf numFmtId="169" fontId="78" fillId="3" borderId="0" xfId="140" applyFont="1" applyFill="1"/>
    <xf numFmtId="177" fontId="55" fillId="62" borderId="69" xfId="140" applyNumberFormat="1" applyFont="1" applyFill="1" applyBorder="1" applyAlignment="1">
      <alignment vertical="center"/>
    </xf>
    <xf numFmtId="0" fontId="150" fillId="3" borderId="65" xfId="0" applyFont="1" applyFill="1" applyBorder="1" applyAlignment="1">
      <alignment horizontal="left" vertical="center"/>
    </xf>
    <xf numFmtId="169" fontId="78" fillId="3" borderId="69" xfId="140" applyFont="1" applyFill="1" applyBorder="1" applyAlignment="1">
      <alignment horizontal="center" vertical="center"/>
    </xf>
    <xf numFmtId="0" fontId="55" fillId="3" borderId="0" xfId="148" applyFill="1" applyAlignment="1">
      <alignment horizontal="center"/>
    </xf>
    <xf numFmtId="0" fontId="78" fillId="3" borderId="0" xfId="148" applyFont="1" applyFill="1" applyAlignment="1">
      <alignment horizontal="center"/>
    </xf>
    <xf numFmtId="169" fontId="55" fillId="3" borderId="0" xfId="140" applyFill="1"/>
    <xf numFmtId="169" fontId="148" fillId="4" borderId="69" xfId="140" applyFont="1" applyFill="1" applyBorder="1" applyAlignment="1">
      <alignment horizontal="center" vertical="center"/>
    </xf>
    <xf numFmtId="0" fontId="148" fillId="4" borderId="78" xfId="148" applyFont="1" applyFill="1" applyBorder="1" applyAlignment="1">
      <alignment horizontal="center" vertical="center"/>
    </xf>
    <xf numFmtId="169" fontId="78" fillId="3" borderId="105" xfId="140" applyFont="1" applyFill="1" applyBorder="1" applyAlignment="1">
      <alignment vertical="center"/>
    </xf>
    <xf numFmtId="0" fontId="78" fillId="3" borderId="104" xfId="148" applyFont="1" applyFill="1" applyBorder="1" applyAlignment="1">
      <alignment vertical="center"/>
    </xf>
    <xf numFmtId="169" fontId="55" fillId="3" borderId="0" xfId="140" applyFill="1" applyAlignment="1">
      <alignment horizontal="center"/>
    </xf>
    <xf numFmtId="169" fontId="78" fillId="3" borderId="0" xfId="140" quotePrefix="1" applyFont="1" applyFill="1" applyBorder="1" applyAlignment="1">
      <alignment horizontal="right" vertical="center"/>
    </xf>
    <xf numFmtId="169" fontId="78" fillId="3" borderId="0" xfId="140" quotePrefix="1" applyFont="1" applyFill="1" applyBorder="1" applyAlignment="1">
      <alignment horizontal="center" vertical="center"/>
    </xf>
    <xf numFmtId="0" fontId="148" fillId="4" borderId="69" xfId="0" applyFont="1" applyFill="1" applyBorder="1" applyAlignment="1">
      <alignment horizontal="center" vertical="center"/>
    </xf>
    <xf numFmtId="169" fontId="78" fillId="3" borderId="0" xfId="140" applyFont="1" applyFill="1" applyAlignment="1">
      <alignment horizontal="left"/>
    </xf>
    <xf numFmtId="169" fontId="78" fillId="3" borderId="0" xfId="140" applyFont="1" applyFill="1" applyAlignment="1">
      <alignment horizontal="center"/>
    </xf>
    <xf numFmtId="169" fontId="78" fillId="3" borderId="105" xfId="140" applyFont="1" applyFill="1" applyBorder="1" applyAlignment="1">
      <alignment horizontal="center" vertical="center"/>
    </xf>
    <xf numFmtId="0" fontId="78" fillId="3" borderId="105" xfId="148" applyFont="1" applyFill="1" applyBorder="1" applyAlignment="1">
      <alignment vertical="center"/>
    </xf>
    <xf numFmtId="10" fontId="78" fillId="3" borderId="69" xfId="68" applyNumberFormat="1" applyFont="1" applyFill="1" applyBorder="1" applyAlignment="1">
      <alignment horizontal="center" vertical="center"/>
    </xf>
    <xf numFmtId="0" fontId="78" fillId="3" borderId="85" xfId="52203" quotePrefix="1" applyFont="1" applyFill="1" applyBorder="1" applyAlignment="1">
      <alignment horizontal="center" vertical="center"/>
    </xf>
    <xf numFmtId="0" fontId="78" fillId="3" borderId="102" xfId="148" applyFont="1" applyFill="1" applyBorder="1" applyAlignment="1">
      <alignment horizontal="center" vertical="center"/>
    </xf>
    <xf numFmtId="0" fontId="78" fillId="2" borderId="0" xfId="148" applyFont="1" applyFill="1" applyAlignment="1">
      <alignment vertical="center"/>
    </xf>
    <xf numFmtId="0" fontId="78" fillId="2" borderId="69" xfId="148" applyFont="1" applyFill="1" applyBorder="1" applyAlignment="1">
      <alignment horizontal="center" vertical="center"/>
    </xf>
    <xf numFmtId="0" fontId="58" fillId="2" borderId="91" xfId="148" applyFont="1" applyFill="1" applyBorder="1" applyAlignment="1">
      <alignment horizontal="right" vertical="center"/>
    </xf>
    <xf numFmtId="0" fontId="148" fillId="2" borderId="69" xfId="148" applyFont="1" applyFill="1" applyBorder="1" applyAlignment="1">
      <alignment horizontal="center" vertical="center"/>
    </xf>
    <xf numFmtId="0" fontId="55" fillId="3" borderId="0" xfId="148" applyFill="1" applyAlignment="1">
      <alignment vertical="center"/>
    </xf>
    <xf numFmtId="0" fontId="78" fillId="2" borderId="0" xfId="148" applyFont="1" applyFill="1" applyAlignment="1">
      <alignment horizontal="center" vertical="center"/>
    </xf>
    <xf numFmtId="0" fontId="0" fillId="2" borderId="69" xfId="0" applyFill="1" applyBorder="1" applyAlignment="1">
      <alignment horizontal="center" vertical="center"/>
    </xf>
    <xf numFmtId="0" fontId="55" fillId="3" borderId="103" xfId="148" applyFill="1" applyBorder="1" applyAlignment="1">
      <alignment horizontal="center" vertical="center"/>
    </xf>
    <xf numFmtId="0" fontId="55" fillId="3" borderId="105" xfId="148" applyFill="1" applyBorder="1" applyAlignment="1">
      <alignment vertical="center"/>
    </xf>
    <xf numFmtId="0" fontId="55" fillId="3" borderId="105" xfId="148" applyFill="1" applyBorder="1" applyAlignment="1">
      <alignment horizontal="center" vertical="center"/>
    </xf>
    <xf numFmtId="0" fontId="55" fillId="2" borderId="105" xfId="148" applyFill="1" applyBorder="1" applyAlignment="1">
      <alignment horizontal="center" vertical="center"/>
    </xf>
    <xf numFmtId="169" fontId="55" fillId="3" borderId="105" xfId="140" applyFill="1" applyBorder="1" applyAlignment="1">
      <alignment vertical="center"/>
    </xf>
    <xf numFmtId="0" fontId="55" fillId="3" borderId="104" xfId="148" applyFill="1" applyBorder="1" applyAlignment="1">
      <alignment vertical="center"/>
    </xf>
    <xf numFmtId="0" fontId="55" fillId="3" borderId="0" xfId="148" applyFill="1" applyAlignment="1">
      <alignment horizontal="center" vertical="center"/>
    </xf>
    <xf numFmtId="0" fontId="55" fillId="2" borderId="0" xfId="148" applyFill="1" applyAlignment="1">
      <alignment horizontal="center" vertical="center"/>
    </xf>
    <xf numFmtId="43" fontId="0" fillId="3" borderId="69" xfId="0" applyNumberFormat="1" applyFill="1" applyBorder="1" applyAlignment="1">
      <alignment vertical="center"/>
    </xf>
    <xf numFmtId="169" fontId="55" fillId="3" borderId="105" xfId="140" applyFill="1" applyBorder="1" applyAlignment="1">
      <alignment horizontal="center" vertical="center"/>
    </xf>
    <xf numFmtId="0" fontId="56" fillId="3" borderId="85" xfId="148" applyFont="1" applyFill="1" applyBorder="1" applyAlignment="1">
      <alignment horizontal="center" vertical="center"/>
    </xf>
    <xf numFmtId="0" fontId="56" fillId="3" borderId="69" xfId="148" applyFont="1" applyFill="1" applyBorder="1" applyAlignment="1">
      <alignment horizontal="center" vertical="center"/>
    </xf>
    <xf numFmtId="2" fontId="56" fillId="3" borderId="69" xfId="148" applyNumberFormat="1" applyFont="1" applyFill="1" applyBorder="1" applyAlignment="1">
      <alignment horizontal="center" vertical="center"/>
    </xf>
    <xf numFmtId="169" fontId="148" fillId="4" borderId="69" xfId="140" applyFont="1" applyFill="1" applyBorder="1" applyAlignment="1">
      <alignment horizontal="center" vertical="center" wrapText="1"/>
    </xf>
    <xf numFmtId="10" fontId="56" fillId="3" borderId="69" xfId="68" applyNumberFormat="1" applyFont="1" applyFill="1" applyBorder="1" applyAlignment="1">
      <alignment horizontal="center" vertical="center"/>
    </xf>
    <xf numFmtId="0" fontId="56" fillId="3" borderId="78" xfId="148" applyFont="1" applyFill="1" applyBorder="1" applyAlignment="1">
      <alignment horizontal="center" vertical="center"/>
    </xf>
    <xf numFmtId="169" fontId="78" fillId="2" borderId="0" xfId="140" applyFont="1" applyFill="1" applyAlignment="1">
      <alignment horizontal="center"/>
    </xf>
    <xf numFmtId="169" fontId="148" fillId="2" borderId="64" xfId="140" applyFont="1" applyFill="1" applyBorder="1" applyAlignment="1">
      <alignment horizontal="center" vertical="center" wrapText="1"/>
    </xf>
    <xf numFmtId="169" fontId="148" fillId="2" borderId="3" xfId="140" applyFont="1" applyFill="1" applyBorder="1" applyAlignment="1">
      <alignment horizontal="center" vertical="center" wrapText="1"/>
    </xf>
    <xf numFmtId="0" fontId="56" fillId="2" borderId="71" xfId="68" applyNumberFormat="1" applyFont="1" applyFill="1" applyBorder="1" applyAlignment="1">
      <alignment horizontal="center" vertical="center"/>
    </xf>
    <xf numFmtId="169" fontId="78" fillId="2" borderId="107" xfId="140" applyFont="1" applyFill="1" applyBorder="1" applyAlignment="1">
      <alignment horizontal="center" vertical="center"/>
    </xf>
    <xf numFmtId="169" fontId="55" fillId="2" borderId="0" xfId="140" applyFill="1" applyAlignment="1">
      <alignment horizontal="center"/>
    </xf>
    <xf numFmtId="169" fontId="78" fillId="2" borderId="0" xfId="140" applyFont="1" applyFill="1" applyBorder="1" applyAlignment="1">
      <alignment horizontal="center" vertical="center"/>
    </xf>
    <xf numFmtId="169" fontId="78" fillId="2" borderId="0" xfId="140" quotePrefix="1" applyFont="1" applyFill="1" applyBorder="1" applyAlignment="1">
      <alignment horizontal="right" vertical="center"/>
    </xf>
    <xf numFmtId="169" fontId="78" fillId="2" borderId="0" xfId="140" quotePrefix="1" applyFont="1" applyFill="1" applyBorder="1" applyAlignment="1">
      <alignment horizontal="center" vertical="center"/>
    </xf>
    <xf numFmtId="177" fontId="0" fillId="3" borderId="78" xfId="140" applyNumberFormat="1" applyFont="1" applyFill="1" applyBorder="1" applyAlignment="1">
      <alignment vertical="center"/>
    </xf>
    <xf numFmtId="177" fontId="78" fillId="3" borderId="0" xfId="140" applyNumberFormat="1" applyFont="1" applyFill="1" applyAlignment="1">
      <alignment horizontal="center" vertical="center"/>
    </xf>
    <xf numFmtId="177" fontId="78" fillId="3" borderId="0" xfId="140" applyNumberFormat="1" applyFont="1" applyFill="1" applyBorder="1" applyAlignment="1">
      <alignment horizontal="center" vertical="center"/>
    </xf>
    <xf numFmtId="177" fontId="78" fillId="3" borderId="70" xfId="140" applyNumberFormat="1" applyFont="1" applyFill="1" applyBorder="1" applyAlignment="1">
      <alignment horizontal="center" vertical="center"/>
    </xf>
    <xf numFmtId="177" fontId="58" fillId="3" borderId="81" xfId="140" applyNumberFormat="1" applyFont="1" applyFill="1" applyBorder="1" applyAlignment="1">
      <alignment horizontal="right" vertical="center"/>
    </xf>
    <xf numFmtId="177" fontId="58" fillId="3" borderId="106" xfId="140" applyNumberFormat="1" applyFont="1" applyFill="1" applyBorder="1" applyAlignment="1">
      <alignment horizontal="center" vertical="center"/>
    </xf>
    <xf numFmtId="2" fontId="55" fillId="3" borderId="0" xfId="148" applyNumberFormat="1" applyFill="1"/>
    <xf numFmtId="169" fontId="78" fillId="3" borderId="69" xfId="140" applyFont="1" applyFill="1" applyBorder="1" applyAlignment="1">
      <alignment horizontal="center" vertical="center"/>
    </xf>
    <xf numFmtId="0" fontId="78" fillId="3" borderId="0" xfId="52203" applyFont="1" applyFill="1" applyAlignment="1">
      <alignment horizontal="center" vertical="center"/>
    </xf>
    <xf numFmtId="169" fontId="148" fillId="4" borderId="80" xfId="140" applyFont="1" applyFill="1" applyBorder="1" applyAlignment="1">
      <alignment horizontal="center" vertical="center"/>
    </xf>
    <xf numFmtId="169" fontId="148" fillId="4" borderId="63" xfId="140" applyFont="1" applyFill="1" applyBorder="1" applyAlignment="1">
      <alignment horizontal="center" vertical="center"/>
    </xf>
    <xf numFmtId="0" fontId="148" fillId="4" borderId="85" xfId="148" applyFont="1" applyFill="1" applyBorder="1" applyAlignment="1">
      <alignment horizontal="center" vertical="center"/>
    </xf>
    <xf numFmtId="0" fontId="148" fillId="4" borderId="81" xfId="148" applyFont="1" applyFill="1" applyBorder="1" applyAlignment="1">
      <alignment horizontal="center" vertical="center"/>
    </xf>
    <xf numFmtId="0" fontId="148" fillId="4" borderId="86" xfId="148" applyFont="1" applyFill="1" applyBorder="1" applyAlignment="1">
      <alignment horizontal="center" vertical="center"/>
    </xf>
    <xf numFmtId="0" fontId="148" fillId="64" borderId="100" xfId="148" applyFont="1" applyFill="1" applyBorder="1" applyAlignment="1">
      <alignment horizontal="center" vertical="center"/>
    </xf>
    <xf numFmtId="0" fontId="148" fillId="64" borderId="108" xfId="148" applyFont="1" applyFill="1" applyBorder="1" applyAlignment="1">
      <alignment horizontal="center" vertical="center"/>
    </xf>
    <xf numFmtId="0" fontId="148" fillId="64" borderId="101" xfId="148" applyFont="1" applyFill="1" applyBorder="1" applyAlignment="1">
      <alignment horizontal="center" vertical="center"/>
    </xf>
    <xf numFmtId="0" fontId="148" fillId="4" borderId="87" xfId="148" applyFont="1" applyFill="1" applyBorder="1" applyAlignment="1">
      <alignment horizontal="center" vertical="center"/>
    </xf>
    <xf numFmtId="0" fontId="148" fillId="4" borderId="83" xfId="148" applyFont="1" applyFill="1" applyBorder="1" applyAlignment="1">
      <alignment horizontal="center" vertical="center"/>
    </xf>
    <xf numFmtId="169" fontId="148" fillId="4" borderId="69" xfId="140" applyFont="1" applyFill="1" applyBorder="1" applyAlignment="1">
      <alignment horizontal="center" vertical="center"/>
    </xf>
    <xf numFmtId="169" fontId="148" fillId="4" borderId="78" xfId="140" applyFont="1" applyFill="1" applyBorder="1" applyAlignment="1">
      <alignment horizontal="center" vertical="center"/>
    </xf>
    <xf numFmtId="169" fontId="148" fillId="4" borderId="69" xfId="140" applyFont="1" applyFill="1" applyBorder="1" applyAlignment="1">
      <alignment horizontal="center" vertical="center" wrapText="1"/>
    </xf>
    <xf numFmtId="169" fontId="0" fillId="0" borderId="69" xfId="140" applyFont="1" applyBorder="1" applyAlignment="1">
      <alignment horizontal="center" vertical="center" wrapText="1"/>
    </xf>
    <xf numFmtId="169" fontId="148" fillId="4" borderId="88" xfId="140" applyFont="1" applyFill="1" applyBorder="1" applyAlignment="1">
      <alignment horizontal="center" vertical="center"/>
    </xf>
    <xf numFmtId="169" fontId="148" fillId="4" borderId="84" xfId="140" applyFont="1" applyFill="1" applyBorder="1" applyAlignment="1">
      <alignment horizontal="center" vertical="center"/>
    </xf>
    <xf numFmtId="0" fontId="56" fillId="3" borderId="67" xfId="68" applyNumberFormat="1" applyFont="1" applyFill="1" applyBorder="1" applyAlignment="1">
      <alignment horizontal="center" vertical="center"/>
    </xf>
    <xf numFmtId="0" fontId="56" fillId="3" borderId="63" xfId="68" applyNumberFormat="1" applyFont="1" applyFill="1" applyBorder="1" applyAlignment="1">
      <alignment horizontal="center" vertical="center"/>
    </xf>
    <xf numFmtId="0" fontId="56" fillId="3" borderId="80" xfId="68" applyNumberFormat="1" applyFont="1" applyFill="1" applyBorder="1" applyAlignment="1">
      <alignment horizontal="center" vertical="center"/>
    </xf>
    <xf numFmtId="0" fontId="148" fillId="64" borderId="99" xfId="148" applyFont="1" applyFill="1" applyBorder="1" applyAlignment="1">
      <alignment horizontal="center" vertical="center"/>
    </xf>
    <xf numFmtId="169" fontId="148" fillId="4" borderId="70" xfId="140" applyFont="1" applyFill="1" applyBorder="1" applyAlignment="1">
      <alignment horizontal="center" vertical="center" wrapText="1"/>
    </xf>
    <xf numFmtId="169" fontId="148" fillId="4" borderId="81" xfId="140" applyFont="1" applyFill="1" applyBorder="1" applyAlignment="1">
      <alignment horizontal="center" vertical="center" wrapText="1"/>
    </xf>
    <xf numFmtId="169" fontId="148" fillId="4" borderId="82" xfId="140" applyFont="1" applyFill="1" applyBorder="1" applyAlignment="1">
      <alignment horizontal="center" vertical="center" wrapText="1"/>
    </xf>
    <xf numFmtId="169" fontId="148" fillId="4" borderId="80" xfId="140" applyFont="1" applyFill="1" applyBorder="1" applyAlignment="1">
      <alignment horizontal="center" vertical="center" wrapText="1"/>
    </xf>
    <xf numFmtId="169" fontId="148" fillId="4" borderId="63" xfId="140" applyFont="1" applyFill="1" applyBorder="1" applyAlignment="1">
      <alignment horizontal="center" vertical="center" wrapText="1"/>
    </xf>
    <xf numFmtId="0" fontId="148" fillId="4" borderId="89" xfId="148" applyFont="1" applyFill="1" applyBorder="1" applyAlignment="1">
      <alignment horizontal="center" vertical="center"/>
    </xf>
    <xf numFmtId="0" fontId="148" fillId="4" borderId="69" xfId="148" applyFont="1" applyFill="1" applyBorder="1" applyAlignment="1">
      <alignment horizontal="center" vertical="center"/>
    </xf>
    <xf numFmtId="0" fontId="148" fillId="4" borderId="78" xfId="148" applyFont="1" applyFill="1" applyBorder="1" applyAlignment="1">
      <alignment horizontal="center" vertical="center"/>
    </xf>
    <xf numFmtId="0" fontId="148" fillId="4" borderId="88" xfId="148" applyFont="1" applyFill="1" applyBorder="1" applyAlignment="1">
      <alignment horizontal="center" vertical="center" wrapText="1"/>
    </xf>
    <xf numFmtId="0" fontId="148" fillId="4" borderId="84" xfId="148" applyFont="1" applyFill="1" applyBorder="1" applyAlignment="1">
      <alignment horizontal="center" vertical="center" wrapText="1"/>
    </xf>
    <xf numFmtId="0" fontId="148" fillId="4" borderId="80" xfId="148" applyFont="1" applyFill="1" applyBorder="1" applyAlignment="1">
      <alignment horizontal="left" vertical="center"/>
    </xf>
    <xf numFmtId="0" fontId="148" fillId="4" borderId="63" xfId="148" applyFont="1" applyFill="1" applyBorder="1" applyAlignment="1">
      <alignment horizontal="left" vertical="center"/>
    </xf>
    <xf numFmtId="0" fontId="148" fillId="4" borderId="80" xfId="148" applyFont="1" applyFill="1" applyBorder="1" applyAlignment="1">
      <alignment horizontal="center" vertical="center"/>
    </xf>
    <xf numFmtId="0" fontId="148" fillId="4" borderId="63" xfId="148" applyFont="1" applyFill="1" applyBorder="1" applyAlignment="1">
      <alignment horizontal="center" vertical="center"/>
    </xf>
    <xf numFmtId="177" fontId="58" fillId="3" borderId="80" xfId="140" applyNumberFormat="1" applyFont="1" applyFill="1" applyBorder="1" applyAlignment="1">
      <alignment horizontal="center" vertical="center"/>
    </xf>
    <xf numFmtId="177" fontId="58" fillId="3" borderId="66" xfId="140" applyNumberFormat="1" applyFont="1" applyFill="1" applyBorder="1" applyAlignment="1">
      <alignment horizontal="center" vertical="center"/>
    </xf>
    <xf numFmtId="0" fontId="58" fillId="3" borderId="80" xfId="148" applyFont="1" applyFill="1" applyBorder="1" applyAlignment="1">
      <alignment horizontal="center" vertical="center"/>
    </xf>
    <xf numFmtId="0" fontId="58" fillId="3" borderId="66" xfId="148" applyFont="1" applyFill="1" applyBorder="1" applyAlignment="1">
      <alignment horizontal="center" vertical="center"/>
    </xf>
    <xf numFmtId="0" fontId="58" fillId="3" borderId="71" xfId="148" applyFont="1" applyFill="1" applyBorder="1" applyAlignment="1">
      <alignment horizontal="center" vertical="center"/>
    </xf>
    <xf numFmtId="0" fontId="58" fillId="3" borderId="72" xfId="148" applyFont="1" applyFill="1" applyBorder="1" applyAlignment="1">
      <alignment horizontal="center" vertical="center"/>
    </xf>
    <xf numFmtId="0" fontId="58" fillId="3" borderId="70" xfId="148" applyFont="1" applyFill="1" applyBorder="1" applyAlignment="1">
      <alignment horizontal="center" vertical="center"/>
    </xf>
    <xf numFmtId="0" fontId="58" fillId="3" borderId="82" xfId="148" applyFont="1" applyFill="1" applyBorder="1" applyAlignment="1">
      <alignment horizontal="center" vertical="center"/>
    </xf>
    <xf numFmtId="0" fontId="58" fillId="2" borderId="80" xfId="148" applyFont="1" applyFill="1" applyBorder="1" applyAlignment="1">
      <alignment horizontal="center" vertical="center"/>
    </xf>
    <xf numFmtId="0" fontId="58" fillId="2" borderId="66" xfId="148" applyFont="1" applyFill="1" applyBorder="1" applyAlignment="1">
      <alignment horizontal="center" vertical="center"/>
    </xf>
    <xf numFmtId="0" fontId="58" fillId="3" borderId="85" xfId="148" applyFont="1" applyFill="1" applyBorder="1" applyAlignment="1">
      <alignment horizontal="right" vertical="center"/>
    </xf>
    <xf numFmtId="0" fontId="58" fillId="3" borderId="81" xfId="148" applyFont="1" applyFill="1" applyBorder="1" applyAlignment="1">
      <alignment horizontal="right" vertical="center"/>
    </xf>
    <xf numFmtId="0" fontId="58" fillId="3" borderId="82" xfId="148" applyFont="1" applyFill="1" applyBorder="1" applyAlignment="1">
      <alignment horizontal="right" vertical="center"/>
    </xf>
    <xf numFmtId="0" fontId="58" fillId="3" borderId="87" xfId="148" applyFont="1" applyFill="1" applyBorder="1" applyAlignment="1">
      <alignment horizontal="center" vertical="center"/>
    </xf>
    <xf numFmtId="0" fontId="58" fillId="3" borderId="95" xfId="148" applyFont="1" applyFill="1" applyBorder="1" applyAlignment="1">
      <alignment horizontal="center" vertical="center"/>
    </xf>
    <xf numFmtId="0" fontId="56" fillId="3" borderId="73" xfId="148" applyFont="1" applyFill="1" applyBorder="1" applyAlignment="1">
      <alignment horizontal="center" vertical="center"/>
    </xf>
    <xf numFmtId="0" fontId="56" fillId="3" borderId="74" xfId="148" applyFont="1" applyFill="1" applyBorder="1" applyAlignment="1">
      <alignment horizontal="center" vertical="center"/>
    </xf>
    <xf numFmtId="0" fontId="56" fillId="3" borderId="98" xfId="148" applyFont="1" applyFill="1" applyBorder="1" applyAlignment="1">
      <alignment horizontal="center" vertical="center"/>
    </xf>
    <xf numFmtId="0" fontId="56" fillId="3" borderId="75" xfId="148" applyFont="1" applyFill="1" applyBorder="1" applyAlignment="1">
      <alignment horizontal="center" vertical="center"/>
    </xf>
    <xf numFmtId="169" fontId="78" fillId="2" borderId="69" xfId="140" quotePrefix="1" applyFont="1" applyFill="1" applyBorder="1" applyAlignment="1">
      <alignment horizontal="right" vertical="center"/>
    </xf>
    <xf numFmtId="169" fontId="78" fillId="2" borderId="69" xfId="140" applyFont="1" applyFill="1" applyBorder="1" applyAlignment="1">
      <alignment horizontal="center" vertical="center"/>
    </xf>
    <xf numFmtId="169" fontId="78" fillId="2" borderId="69" xfId="140" applyFont="1" applyFill="1" applyBorder="1" applyAlignment="1">
      <alignment vertical="center"/>
    </xf>
    <xf numFmtId="0" fontId="78" fillId="2" borderId="69" xfId="52203" applyFont="1" applyFill="1" applyBorder="1" applyAlignment="1">
      <alignment horizontal="center" vertical="center"/>
    </xf>
    <xf numFmtId="0" fontId="78" fillId="2" borderId="78" xfId="148" applyFont="1" applyFill="1" applyBorder="1" applyAlignment="1">
      <alignment horizontal="center" vertical="center"/>
    </xf>
    <xf numFmtId="2" fontId="56" fillId="2" borderId="69" xfId="148" applyNumberFormat="1" applyFont="1" applyFill="1" applyBorder="1" applyAlignment="1">
      <alignment horizontal="center" vertical="center"/>
    </xf>
    <xf numFmtId="0" fontId="0" fillId="2" borderId="89" xfId="0" applyFill="1" applyBorder="1" applyAlignment="1">
      <alignment horizontal="center" vertical="center"/>
    </xf>
    <xf numFmtId="0" fontId="0" fillId="2" borderId="69" xfId="0" applyFill="1" applyBorder="1" applyAlignment="1">
      <alignment vertical="center"/>
    </xf>
    <xf numFmtId="0" fontId="55" fillId="2" borderId="89" xfId="148" applyFill="1" applyBorder="1" applyAlignment="1">
      <alignment horizontal="center" vertical="center"/>
    </xf>
    <xf numFmtId="0" fontId="55" fillId="2" borderId="69" xfId="148" applyFill="1" applyBorder="1" applyAlignment="1">
      <alignment vertical="center"/>
    </xf>
    <xf numFmtId="0" fontId="55" fillId="2" borderId="69" xfId="148" applyFill="1" applyBorder="1" applyAlignment="1">
      <alignment horizontal="center" vertical="center"/>
    </xf>
    <xf numFmtId="169" fontId="0" fillId="2" borderId="69" xfId="140" applyFont="1" applyFill="1" applyBorder="1" applyAlignment="1">
      <alignment horizontal="center" vertical="center"/>
    </xf>
    <xf numFmtId="169" fontId="0" fillId="2" borderId="69" xfId="140" applyFont="1" applyFill="1" applyBorder="1" applyAlignment="1">
      <alignment vertical="center"/>
    </xf>
    <xf numFmtId="169" fontId="55" fillId="2" borderId="69" xfId="140" applyFill="1" applyBorder="1" applyAlignment="1">
      <alignment horizontal="center" vertical="center"/>
    </xf>
    <xf numFmtId="0" fontId="78" fillId="2" borderId="89" xfId="148" applyFont="1" applyFill="1" applyBorder="1" applyAlignment="1">
      <alignment horizontal="center" vertical="center"/>
    </xf>
    <xf numFmtId="0" fontId="78" fillId="2" borderId="69" xfId="148" applyFont="1" applyFill="1" applyBorder="1" applyAlignment="1">
      <alignment horizontal="left" vertical="center"/>
    </xf>
    <xf numFmtId="0" fontId="78" fillId="2" borderId="80" xfId="148" applyFont="1" applyFill="1" applyBorder="1" applyAlignment="1">
      <alignment horizontal="center" vertical="center"/>
    </xf>
    <xf numFmtId="175" fontId="78" fillId="2" borderId="69" xfId="148" applyNumberFormat="1" applyFont="1" applyFill="1" applyBorder="1" applyAlignment="1">
      <alignment vertical="center"/>
    </xf>
    <xf numFmtId="192" fontId="78" fillId="2" borderId="69" xfId="140" applyNumberFormat="1" applyFont="1" applyFill="1" applyBorder="1" applyAlignment="1">
      <alignment horizontal="center" vertical="center"/>
    </xf>
    <xf numFmtId="0" fontId="78" fillId="2" borderId="87" xfId="148" applyFont="1" applyFill="1" applyBorder="1" applyAlignment="1">
      <alignment horizontal="center" vertical="center"/>
    </xf>
    <xf numFmtId="169" fontId="78" fillId="2" borderId="69" xfId="148" applyNumberFormat="1" applyFont="1" applyFill="1" applyBorder="1" applyAlignment="1">
      <alignment horizontal="center" vertical="center"/>
    </xf>
    <xf numFmtId="177" fontId="78" fillId="2" borderId="70" xfId="140" applyNumberFormat="1" applyFont="1" applyFill="1" applyBorder="1" applyAlignment="1">
      <alignment horizontal="center" vertical="center"/>
    </xf>
    <xf numFmtId="0" fontId="58" fillId="2" borderId="92" xfId="148" applyFont="1" applyFill="1" applyBorder="1" applyAlignment="1">
      <alignment horizontal="center" vertical="center"/>
    </xf>
    <xf numFmtId="0" fontId="58" fillId="2" borderId="68" xfId="148" applyFont="1" applyFill="1" applyBorder="1" applyAlignment="1">
      <alignment horizontal="left" vertical="center"/>
    </xf>
    <xf numFmtId="0" fontId="58" fillId="2" borderId="93" xfId="148" applyFont="1" applyFill="1" applyBorder="1" applyAlignment="1">
      <alignment horizontal="left" vertical="center"/>
    </xf>
    <xf numFmtId="0" fontId="58" fillId="2" borderId="94" xfId="148" applyFont="1" applyFill="1" applyBorder="1" applyAlignment="1">
      <alignment horizontal="left" vertical="center"/>
    </xf>
  </cellXfs>
  <cellStyles count="52398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4" xfId="52393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7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0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>
        <row r="8">
          <cell r="O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O8">
            <v>0</v>
          </cell>
        </row>
      </sheetData>
      <sheetData sheetId="14"/>
      <sheetData sheetId="15"/>
      <sheetData sheetId="16" refreshError="1">
        <row r="8">
          <cell r="O8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>
    <tabColor rgb="FFFFFF00"/>
    <pageSetUpPr fitToPage="1"/>
  </sheetPr>
  <dimension ref="A1:I137"/>
  <sheetViews>
    <sheetView view="pageBreakPreview" topLeftCell="A94" zoomScaleNormal="85" zoomScaleSheetLayoutView="100" workbookViewId="0">
      <selection activeCell="C109" sqref="C109"/>
    </sheetView>
  </sheetViews>
  <sheetFormatPr defaultRowHeight="15.75"/>
  <cols>
    <col min="1" max="1" width="1.140625" style="1" customWidth="1"/>
    <col min="2" max="2" width="13.140625" style="2" bestFit="1" customWidth="1"/>
    <col min="3" max="3" width="131.5703125" style="3" customWidth="1"/>
    <col min="4" max="4" width="15.7109375" style="2" customWidth="1"/>
    <col min="5" max="5" width="17.28515625" style="58" customWidth="1"/>
    <col min="6" max="6" width="21.5703125" style="59" customWidth="1"/>
    <col min="7" max="7" width="9.140625" style="9"/>
    <col min="8" max="8" width="9.140625" style="1"/>
    <col min="9" max="9" width="8.140625" style="1" bestFit="1" customWidth="1"/>
    <col min="10" max="16384" width="9.140625" style="1"/>
  </cols>
  <sheetData>
    <row r="1" spans="1:9" ht="3" customHeight="1"/>
    <row r="2" spans="1:9" s="12" customFormat="1" ht="54" customHeight="1">
      <c r="A2" s="10"/>
      <c r="B2" s="11" t="s">
        <v>0</v>
      </c>
      <c r="C2" s="11" t="s">
        <v>32</v>
      </c>
      <c r="D2" s="11" t="s">
        <v>49</v>
      </c>
      <c r="E2" s="60" t="s">
        <v>64</v>
      </c>
      <c r="F2" s="61" t="s">
        <v>63</v>
      </c>
      <c r="G2" s="9"/>
    </row>
    <row r="3" spans="1:9" s="12" customFormat="1">
      <c r="B3" s="41">
        <v>407819</v>
      </c>
      <c r="C3" s="37" t="e">
        <f>UPPER(VLOOKUP(B3,#REF!,2,FALSE))</f>
        <v>#REF!</v>
      </c>
      <c r="D3" s="38" t="e">
        <f>VLOOKUP(B3,#REF!,3,FALSE)</f>
        <v>#REF!</v>
      </c>
      <c r="E3" s="62">
        <v>18.63</v>
      </c>
      <c r="F3" s="63"/>
      <c r="G3" s="9"/>
      <c r="H3" s="13" t="e">
        <f>VLOOKUP(B3,#REF!,1,FALSE)</f>
        <v>#REF!</v>
      </c>
      <c r="I3" s="12" t="e">
        <f>VLOOKUP(B3,#REF!,1,FALSE)</f>
        <v>#REF!</v>
      </c>
    </row>
    <row r="4" spans="1:9" s="12" customFormat="1">
      <c r="B4" s="41">
        <v>804039</v>
      </c>
      <c r="C4" s="37" t="e">
        <f>UPPER(VLOOKUP(B4,#REF!,2,FALSE))</f>
        <v>#REF!</v>
      </c>
      <c r="D4" s="38" t="e">
        <f>VLOOKUP(B4,#REF!,3,FALSE)</f>
        <v>#REF!</v>
      </c>
      <c r="E4" s="62">
        <v>1154.1500000000001</v>
      </c>
      <c r="F4" s="63"/>
      <c r="G4" s="9"/>
      <c r="H4" s="13" t="e">
        <f>VLOOKUP(B4,#REF!,1,FALSE)</f>
        <v>#REF!</v>
      </c>
      <c r="I4" s="12" t="e">
        <f>VLOOKUP(B4,#REF!,1,FALSE)</f>
        <v>#REF!</v>
      </c>
    </row>
    <row r="5" spans="1:9" s="12" customFormat="1">
      <c r="B5" s="41">
        <v>804191</v>
      </c>
      <c r="C5" s="37" t="e">
        <f>UPPER(VLOOKUP(B5,#REF!,2,FALSE))</f>
        <v>#REF!</v>
      </c>
      <c r="D5" s="38" t="e">
        <f>VLOOKUP(B5,#REF!,3,FALSE)</f>
        <v>#REF!</v>
      </c>
      <c r="E5" s="62">
        <v>2232.12</v>
      </c>
      <c r="F5" s="63"/>
      <c r="G5" s="9"/>
      <c r="H5" s="13" t="e">
        <f>VLOOKUP(B5,#REF!,1,FALSE)</f>
        <v>#REF!</v>
      </c>
      <c r="I5" s="12" t="e">
        <f>VLOOKUP(B5,#REF!,1,FALSE)</f>
        <v>#REF!</v>
      </c>
    </row>
    <row r="6" spans="1:9" s="12" customFormat="1">
      <c r="B6" s="36">
        <v>804393</v>
      </c>
      <c r="C6" s="37" t="e">
        <f>UPPER(VLOOKUP(B6,#REF!,2,FALSE))</f>
        <v>#REF!</v>
      </c>
      <c r="D6" s="38" t="e">
        <f>VLOOKUP(B6,#REF!,3,FALSE)</f>
        <v>#REF!</v>
      </c>
      <c r="E6" s="62">
        <v>4001.47</v>
      </c>
      <c r="F6" s="63"/>
      <c r="G6" s="9"/>
      <c r="H6" s="13" t="e">
        <f>VLOOKUP(B6,#REF!,1,FALSE)</f>
        <v>#REF!</v>
      </c>
      <c r="I6" s="12" t="e">
        <f>VLOOKUP(B6,#REF!,1,FALSE)</f>
        <v>#REF!</v>
      </c>
    </row>
    <row r="7" spans="1:9" s="12" customFormat="1">
      <c r="B7" s="36">
        <v>804417</v>
      </c>
      <c r="C7" s="37" t="e">
        <f>UPPER(VLOOKUP(B7,#REF!,2,FALSE))</f>
        <v>#REF!</v>
      </c>
      <c r="D7" s="38" t="e">
        <f>VLOOKUP(B7,#REF!,3,FALSE)</f>
        <v>#REF!</v>
      </c>
      <c r="E7" s="62">
        <v>5578.79</v>
      </c>
      <c r="F7" s="63"/>
      <c r="G7" s="9"/>
      <c r="H7" s="13" t="e">
        <f>VLOOKUP(B7,#REF!,1,FALSE)</f>
        <v>#REF!</v>
      </c>
      <c r="I7" s="12" t="e">
        <f>VLOOKUP(B7,#REF!,1,FALSE)</f>
        <v>#REF!</v>
      </c>
    </row>
    <row r="8" spans="1:9" s="12" customFormat="1">
      <c r="B8" s="36">
        <v>1106057</v>
      </c>
      <c r="C8" s="37" t="e">
        <f>UPPER(VLOOKUP(B8,#REF!,2,FALSE))</f>
        <v>#REF!</v>
      </c>
      <c r="D8" s="38" t="e">
        <f>VLOOKUP(B8,#REF!,3,FALSE)</f>
        <v>#REF!</v>
      </c>
      <c r="E8" s="62">
        <v>625.61</v>
      </c>
      <c r="F8" s="63"/>
      <c r="G8" s="9"/>
      <c r="H8" s="13" t="e">
        <f>VLOOKUP(B8,#REF!,1,FALSE)</f>
        <v>#REF!</v>
      </c>
      <c r="I8" s="12" t="e">
        <f>VLOOKUP(B8,#REF!,1,FALSE)</f>
        <v>#REF!</v>
      </c>
    </row>
    <row r="9" spans="1:9" s="12" customFormat="1">
      <c r="B9" s="41">
        <v>1107892</v>
      </c>
      <c r="C9" s="37" t="e">
        <f>UPPER(VLOOKUP(B9,#REF!,2,FALSE))</f>
        <v>#REF!</v>
      </c>
      <c r="D9" s="38" t="e">
        <f>VLOOKUP(B9,#REF!,3,FALSE)</f>
        <v>#REF!</v>
      </c>
      <c r="E9" s="62">
        <v>641.6</v>
      </c>
      <c r="F9" s="63"/>
      <c r="G9" s="9"/>
      <c r="H9" s="13" t="e">
        <f>VLOOKUP(B9,#REF!,1,FALSE)</f>
        <v>#REF!</v>
      </c>
      <c r="I9" s="12" t="e">
        <f>VLOOKUP(B9,#REF!,1,FALSE)</f>
        <v>#REF!</v>
      </c>
    </row>
    <row r="10" spans="1:9" s="12" customFormat="1">
      <c r="B10" s="41">
        <v>1109671</v>
      </c>
      <c r="C10" s="37" t="e">
        <f>UPPER(VLOOKUP(B10,#REF!,2,FALSE))</f>
        <v>#REF!</v>
      </c>
      <c r="D10" s="38" t="e">
        <f>VLOOKUP(B10,#REF!,3,FALSE)</f>
        <v>#REF!</v>
      </c>
      <c r="E10" s="62">
        <v>626.41</v>
      </c>
      <c r="F10" s="63"/>
      <c r="G10" s="9"/>
      <c r="H10" s="13" t="e">
        <f>VLOOKUP(B10,#REF!,1,FALSE)</f>
        <v>#REF!</v>
      </c>
      <c r="I10" s="12" t="e">
        <f>VLOOKUP(B10,#REF!,1,FALSE)</f>
        <v>#REF!</v>
      </c>
    </row>
    <row r="11" spans="1:9" s="12" customFormat="1">
      <c r="B11" s="36">
        <v>1505860</v>
      </c>
      <c r="C11" s="37" t="e">
        <f>UPPER(VLOOKUP(B11,#REF!,2,FALSE))</f>
        <v>#REF!</v>
      </c>
      <c r="D11" s="38" t="e">
        <f>VLOOKUP(B11,#REF!,3,FALSE)</f>
        <v>#REF!</v>
      </c>
      <c r="E11" s="62">
        <v>257.64</v>
      </c>
      <c r="F11" s="63"/>
      <c r="G11" s="9"/>
      <c r="H11" s="13" t="e">
        <f>VLOOKUP(B11,#REF!,1,FALSE)</f>
        <v>#REF!</v>
      </c>
      <c r="I11" s="12" t="e">
        <f>VLOOKUP(B11,#REF!,1,FALSE)</f>
        <v>#REF!</v>
      </c>
    </row>
    <row r="12" spans="1:9" s="12" customFormat="1">
      <c r="B12" s="36">
        <v>1505877</v>
      </c>
      <c r="C12" s="37" t="e">
        <f>UPPER(VLOOKUP(B12,#REF!,2,FALSE))</f>
        <v>#REF!</v>
      </c>
      <c r="D12" s="38" t="e">
        <f>VLOOKUP(B12,#REF!,3,FALSE)</f>
        <v>#REF!</v>
      </c>
      <c r="E12" s="62">
        <v>241.37</v>
      </c>
      <c r="F12" s="63"/>
      <c r="G12" s="9"/>
      <c r="H12" s="13" t="e">
        <f>VLOOKUP(B12,#REF!,1,FALSE)</f>
        <v>#REF!</v>
      </c>
      <c r="I12" s="12" t="e">
        <f>VLOOKUP(B12,#REF!,1,FALSE)</f>
        <v>#REF!</v>
      </c>
    </row>
    <row r="13" spans="1:9" s="12" customFormat="1">
      <c r="B13" s="36">
        <v>1505879</v>
      </c>
      <c r="C13" s="37" t="e">
        <f>UPPER(VLOOKUP(B13,#REF!,2,FALSE))</f>
        <v>#REF!</v>
      </c>
      <c r="D13" s="38" t="e">
        <f>VLOOKUP(B13,#REF!,3,FALSE)</f>
        <v>#REF!</v>
      </c>
      <c r="E13" s="62">
        <v>405.51</v>
      </c>
      <c r="F13" s="63"/>
      <c r="G13" s="9"/>
      <c r="H13" s="13" t="e">
        <f>VLOOKUP(B13,#REF!,1,FALSE)</f>
        <v>#REF!</v>
      </c>
      <c r="I13" s="12" t="e">
        <f>VLOOKUP(B13,#REF!,1,FALSE)</f>
        <v>#REF!</v>
      </c>
    </row>
    <row r="14" spans="1:9" s="12" customFormat="1">
      <c r="B14" s="36">
        <v>1600895</v>
      </c>
      <c r="C14" s="37" t="e">
        <f>UPPER(VLOOKUP(B14,#REF!,2,FALSE))</f>
        <v>#REF!</v>
      </c>
      <c r="D14" s="38" t="e">
        <f>VLOOKUP(B14,#REF!,3,FALSE)</f>
        <v>#REF!</v>
      </c>
      <c r="E14" s="62">
        <v>22.46</v>
      </c>
      <c r="F14" s="63"/>
      <c r="G14" s="9"/>
      <c r="H14" s="13" t="e">
        <f>VLOOKUP(B14,#REF!,1,FALSE)</f>
        <v>#REF!</v>
      </c>
      <c r="I14" s="12" t="e">
        <f>VLOOKUP(B14,#REF!,1,FALSE)</f>
        <v>#REF!</v>
      </c>
    </row>
    <row r="15" spans="1:9" s="12" customFormat="1">
      <c r="B15" s="36">
        <v>1600896</v>
      </c>
      <c r="C15" s="37" t="e">
        <f>UPPER(VLOOKUP(B15,#REF!,2,FALSE))</f>
        <v>#REF!</v>
      </c>
      <c r="D15" s="38" t="e">
        <f>VLOOKUP(B15,#REF!,3,FALSE)</f>
        <v>#REF!</v>
      </c>
      <c r="E15" s="62">
        <v>24.04</v>
      </c>
      <c r="F15" s="63"/>
      <c r="G15" s="9"/>
      <c r="H15" s="13" t="e">
        <f>VLOOKUP(B15,#REF!,1,FALSE)</f>
        <v>#REF!</v>
      </c>
      <c r="I15" s="12" t="e">
        <f>VLOOKUP(B15,#REF!,1,FALSE)</f>
        <v>#REF!</v>
      </c>
    </row>
    <row r="16" spans="1:9" s="12" customFormat="1">
      <c r="B16" s="41">
        <v>1600898</v>
      </c>
      <c r="C16" s="37" t="e">
        <f>UPPER(VLOOKUP(B16,#REF!,2,FALSE))</f>
        <v>#REF!</v>
      </c>
      <c r="D16" s="38" t="e">
        <f>VLOOKUP(B16,#REF!,3,FALSE)</f>
        <v>#REF!</v>
      </c>
      <c r="E16" s="62">
        <v>17.34</v>
      </c>
      <c r="F16" s="63"/>
      <c r="G16" s="9"/>
      <c r="H16" s="13" t="e">
        <f>VLOOKUP(B16,#REF!,1,FALSE)</f>
        <v>#REF!</v>
      </c>
      <c r="I16" s="12" t="e">
        <f>VLOOKUP(B16,#REF!,1,FALSE)</f>
        <v>#REF!</v>
      </c>
    </row>
    <row r="17" spans="2:9" s="12" customFormat="1">
      <c r="B17" s="36">
        <v>1600989</v>
      </c>
      <c r="C17" s="37" t="e">
        <f>UPPER(VLOOKUP(B17,#REF!,2,FALSE))</f>
        <v>#REF!</v>
      </c>
      <c r="D17" s="38" t="e">
        <f>VLOOKUP(B17,#REF!,3,FALSE)</f>
        <v>#REF!</v>
      </c>
      <c r="E17" s="62">
        <v>465.28</v>
      </c>
      <c r="F17" s="63"/>
      <c r="G17" s="9"/>
      <c r="H17" s="13" t="e">
        <f>VLOOKUP(B17,#REF!,1,FALSE)</f>
        <v>#REF!</v>
      </c>
      <c r="I17" s="12" t="e">
        <f>VLOOKUP(B17,#REF!,1,FALSE)</f>
        <v>#REF!</v>
      </c>
    </row>
    <row r="18" spans="2:9" s="12" customFormat="1">
      <c r="B18" s="41">
        <v>1619003</v>
      </c>
      <c r="C18" s="37" t="e">
        <f>UPPER(VLOOKUP(B18,#REF!,2,FALSE))</f>
        <v>#REF!</v>
      </c>
      <c r="D18" s="38" t="e">
        <f>VLOOKUP(B18,#REF!,3,FALSE)</f>
        <v>#REF!</v>
      </c>
      <c r="E18" s="62">
        <v>84.02</v>
      </c>
      <c r="F18" s="63"/>
      <c r="G18" s="9"/>
      <c r="H18" s="13" t="e">
        <f>VLOOKUP(B18,#REF!,1,FALSE)</f>
        <v>#REF!</v>
      </c>
      <c r="I18" s="12" t="e">
        <f>VLOOKUP(B18,#REF!,1,FALSE)</f>
        <v>#REF!</v>
      </c>
    </row>
    <row r="19" spans="2:9" s="34" customFormat="1">
      <c r="B19" s="36">
        <v>1619004</v>
      </c>
      <c r="C19" s="37" t="e">
        <f>UPPER(VLOOKUP(B19,#REF!,2,FALSE))</f>
        <v>#REF!</v>
      </c>
      <c r="D19" s="38" t="e">
        <f>VLOOKUP(B19,#REF!,3,FALSE)</f>
        <v>#REF!</v>
      </c>
      <c r="E19" s="62">
        <v>9.77</v>
      </c>
      <c r="F19" s="63"/>
      <c r="G19" s="9"/>
      <c r="H19" s="13" t="e">
        <f>VLOOKUP(B19,#REF!,1,FALSE)</f>
        <v>#REF!</v>
      </c>
      <c r="I19" s="12" t="e">
        <f>VLOOKUP(B19,#REF!,1,FALSE)</f>
        <v>#REF!</v>
      </c>
    </row>
    <row r="20" spans="2:9" s="34" customFormat="1">
      <c r="B20" s="41">
        <v>2003373</v>
      </c>
      <c r="C20" s="37" t="e">
        <f>UPPER(VLOOKUP(B20,#REF!,2,FALSE))</f>
        <v>#REF!</v>
      </c>
      <c r="D20" s="38" t="e">
        <f>VLOOKUP(B20,#REF!,3,FALSE)</f>
        <v>#REF!</v>
      </c>
      <c r="E20" s="62">
        <v>90.44</v>
      </c>
      <c r="F20" s="63"/>
      <c r="G20" s="39"/>
      <c r="H20" s="40" t="e">
        <f>VLOOKUP(B20,#REF!,1,FALSE)</f>
        <v>#REF!</v>
      </c>
      <c r="I20" s="34" t="e">
        <f>VLOOKUP(B20,#REF!,1,FALSE)</f>
        <v>#REF!</v>
      </c>
    </row>
    <row r="21" spans="2:9" s="34" customFormat="1">
      <c r="B21" s="41">
        <v>2003393</v>
      </c>
      <c r="C21" s="37" t="e">
        <f>UPPER(VLOOKUP(B21,#REF!,2,FALSE))</f>
        <v>#REF!</v>
      </c>
      <c r="D21" s="38" t="e">
        <f>VLOOKUP(B21,#REF!,3,FALSE)</f>
        <v>#REF!</v>
      </c>
      <c r="E21" s="62">
        <v>516.02</v>
      </c>
      <c r="F21" s="63"/>
      <c r="G21" s="39"/>
      <c r="H21" s="40" t="e">
        <f>VLOOKUP(B21,#REF!,1,FALSE)</f>
        <v>#REF!</v>
      </c>
      <c r="I21" s="34" t="e">
        <f>VLOOKUP(B21,#REF!,1,FALSE)</f>
        <v>#REF!</v>
      </c>
    </row>
    <row r="22" spans="2:9" s="34" customFormat="1">
      <c r="B22" s="41">
        <v>3103302</v>
      </c>
      <c r="C22" s="37" t="e">
        <f>UPPER(VLOOKUP(B22,#REF!,2,FALSE))</f>
        <v>#REF!</v>
      </c>
      <c r="D22" s="38" t="e">
        <f>VLOOKUP(B22,#REF!,3,FALSE)</f>
        <v>#REF!</v>
      </c>
      <c r="E22" s="62">
        <v>109.24</v>
      </c>
      <c r="F22" s="63"/>
      <c r="G22" s="39"/>
      <c r="H22" s="40" t="e">
        <f>VLOOKUP(B22,#REF!,1,FALSE)</f>
        <v>#REF!</v>
      </c>
      <c r="I22" s="34" t="e">
        <f>VLOOKUP(B22,#REF!,1,FALSE)</f>
        <v>#REF!</v>
      </c>
    </row>
    <row r="23" spans="2:9" s="34" customFormat="1">
      <c r="B23" s="41">
        <v>4011353</v>
      </c>
      <c r="C23" s="37" t="e">
        <f>UPPER(VLOOKUP(B23,#REF!,2,FALSE))</f>
        <v>#REF!</v>
      </c>
      <c r="D23" s="38" t="e">
        <f>VLOOKUP(B23,#REF!,3,FALSE)</f>
        <v>#REF!</v>
      </c>
      <c r="E23" s="62">
        <v>0.41</v>
      </c>
      <c r="F23" s="63"/>
      <c r="G23" s="39"/>
      <c r="H23" s="40" t="e">
        <f>VLOOKUP(B23,#REF!,1,FALSE)</f>
        <v>#REF!</v>
      </c>
      <c r="I23" s="34" t="e">
        <f>VLOOKUP(B23,#REF!,1,FALSE)</f>
        <v>#REF!</v>
      </c>
    </row>
    <row r="24" spans="2:9" s="34" customFormat="1">
      <c r="B24" s="41">
        <v>4011410</v>
      </c>
      <c r="C24" s="37" t="e">
        <f>UPPER(VLOOKUP(B24,#REF!,2,FALSE))</f>
        <v>#REF!</v>
      </c>
      <c r="D24" s="38" t="e">
        <f>VLOOKUP(B24,#REF!,3,FALSE)</f>
        <v>#REF!</v>
      </c>
      <c r="E24" s="62">
        <v>6.17</v>
      </c>
      <c r="F24" s="63"/>
      <c r="G24" s="39"/>
      <c r="H24" s="40" t="e">
        <f>VLOOKUP(B24,#REF!,1,FALSE)</f>
        <v>#REF!</v>
      </c>
      <c r="I24" s="34" t="e">
        <f>VLOOKUP(B24,#REF!,1,FALSE)</f>
        <v>#REF!</v>
      </c>
    </row>
    <row r="25" spans="2:9" s="34" customFormat="1">
      <c r="B25" s="41">
        <v>4011463</v>
      </c>
      <c r="C25" s="37" t="e">
        <f>UPPER(VLOOKUP(B25,#REF!,2,FALSE))</f>
        <v>#REF!</v>
      </c>
      <c r="D25" s="38" t="e">
        <f>VLOOKUP(B25,#REF!,3,FALSE)</f>
        <v>#REF!</v>
      </c>
      <c r="E25" s="62">
        <v>231.32</v>
      </c>
      <c r="F25" s="63"/>
      <c r="G25" s="39"/>
      <c r="H25" s="40" t="e">
        <f>VLOOKUP(B25,#REF!,1,FALSE)</f>
        <v>#REF!</v>
      </c>
      <c r="I25" s="34" t="e">
        <f>VLOOKUP(B25,#REF!,1,FALSE)</f>
        <v>#REF!</v>
      </c>
    </row>
    <row r="26" spans="2:9" s="34" customFormat="1">
      <c r="B26" s="41">
        <v>4413013</v>
      </c>
      <c r="C26" s="37" t="e">
        <f>UPPER(VLOOKUP(B26,#REF!,2,FALSE))</f>
        <v>#REF!</v>
      </c>
      <c r="D26" s="38" t="e">
        <f>VLOOKUP(B26,#REF!,3,FALSE)</f>
        <v>#REF!</v>
      </c>
      <c r="E26" s="62">
        <v>119.55</v>
      </c>
      <c r="F26" s="63"/>
      <c r="G26" s="39"/>
      <c r="H26" s="40" t="e">
        <f>VLOOKUP(B26,#REF!,1,FALSE)</f>
        <v>#REF!</v>
      </c>
      <c r="I26" s="34" t="e">
        <f>VLOOKUP(B26,#REF!,1,FALSE)</f>
        <v>#REF!</v>
      </c>
    </row>
    <row r="27" spans="2:9" s="34" customFormat="1">
      <c r="B27" s="36">
        <v>4413996</v>
      </c>
      <c r="C27" s="37" t="e">
        <f>UPPER(VLOOKUP(B27,#REF!,2,FALSE))</f>
        <v>#REF!</v>
      </c>
      <c r="D27" s="38" t="e">
        <f>VLOOKUP(B27,#REF!,3,FALSE)</f>
        <v>#REF!</v>
      </c>
      <c r="E27" s="62">
        <v>13.31</v>
      </c>
      <c r="F27" s="63"/>
      <c r="G27" s="39"/>
      <c r="H27" s="40" t="e">
        <f>VLOOKUP(B27,#REF!,1,FALSE)</f>
        <v>#REF!</v>
      </c>
      <c r="I27" s="34" t="e">
        <f>VLOOKUP(B27,#REF!,1,FALSE)</f>
        <v>#REF!</v>
      </c>
    </row>
    <row r="28" spans="2:9" s="34" customFormat="1">
      <c r="B28" s="41">
        <v>4415684</v>
      </c>
      <c r="C28" s="37" t="e">
        <f>UPPER(VLOOKUP(B28,#REF!,2,FALSE))</f>
        <v>#REF!</v>
      </c>
      <c r="D28" s="38" t="e">
        <f>VLOOKUP(B28,#REF!,3,FALSE)</f>
        <v>#REF!</v>
      </c>
      <c r="E28" s="62">
        <v>6.62</v>
      </c>
      <c r="F28" s="63"/>
      <c r="G28" s="39"/>
      <c r="H28" s="40" t="e">
        <f>VLOOKUP(B28,#REF!,1,FALSE)</f>
        <v>#REF!</v>
      </c>
      <c r="I28" s="34" t="e">
        <f>VLOOKUP(B28,#REF!,1,FALSE)</f>
        <v>#REF!</v>
      </c>
    </row>
    <row r="29" spans="2:9" s="43" customFormat="1">
      <c r="B29" s="36">
        <v>4805757</v>
      </c>
      <c r="C29" s="37" t="e">
        <f>UPPER(VLOOKUP(B29,#REF!,2,FALSE))</f>
        <v>#REF!</v>
      </c>
      <c r="D29" s="38" t="e">
        <f>VLOOKUP(B29,#REF!,3,FALSE)</f>
        <v>#REF!</v>
      </c>
      <c r="E29" s="62">
        <v>9.73</v>
      </c>
      <c r="F29" s="63"/>
      <c r="G29" s="39"/>
      <c r="H29" s="40" t="e">
        <f>VLOOKUP(B29,#REF!,1,FALSE)</f>
        <v>#REF!</v>
      </c>
      <c r="I29" s="34" t="e">
        <f>VLOOKUP(B29,#REF!,1,FALSE)</f>
        <v>#REF!</v>
      </c>
    </row>
    <row r="30" spans="2:9" s="43" customFormat="1">
      <c r="B30" s="36">
        <v>4815671</v>
      </c>
      <c r="C30" s="37" t="e">
        <f>UPPER(VLOOKUP(B30,#REF!,2,FALSE))</f>
        <v>#REF!</v>
      </c>
      <c r="D30" s="38" t="e">
        <f>VLOOKUP(B30,#REF!,3,FALSE)</f>
        <v>#REF!</v>
      </c>
      <c r="E30" s="62">
        <v>25.87</v>
      </c>
      <c r="F30" s="63"/>
      <c r="G30" s="39"/>
      <c r="H30" s="40" t="e">
        <f>VLOOKUP(B30,#REF!,1,FALSE)</f>
        <v>#REF!</v>
      </c>
      <c r="I30" s="34" t="e">
        <f>VLOOKUP(B30,#REF!,1,FALSE)</f>
        <v>#REF!</v>
      </c>
    </row>
    <row r="31" spans="2:9" s="43" customFormat="1">
      <c r="B31" s="42">
        <v>4915613</v>
      </c>
      <c r="C31" s="37" t="e">
        <f>UPPER(VLOOKUP(B31,#REF!,2,FALSE))</f>
        <v>#REF!</v>
      </c>
      <c r="D31" s="38" t="e">
        <f>VLOOKUP(B31,#REF!,3,FALSE)</f>
        <v>#REF!</v>
      </c>
      <c r="E31" s="62">
        <v>0.24</v>
      </c>
      <c r="F31" s="63"/>
      <c r="G31" s="39"/>
      <c r="H31" s="40" t="e">
        <f>VLOOKUP(B31,#REF!,1,FALSE)</f>
        <v>#REF!</v>
      </c>
      <c r="I31" s="34" t="e">
        <f>VLOOKUP(B31,#REF!,1,FALSE)</f>
        <v>#REF!</v>
      </c>
    </row>
    <row r="32" spans="2:9" s="43" customFormat="1">
      <c r="B32" s="36">
        <v>4915626</v>
      </c>
      <c r="C32" s="37" t="e">
        <f>UPPER(VLOOKUP(B32,#REF!,2,FALSE))</f>
        <v>#REF!</v>
      </c>
      <c r="D32" s="38" t="e">
        <f>VLOOKUP(B32,#REF!,3,FALSE)</f>
        <v>#REF!</v>
      </c>
      <c r="E32" s="62">
        <v>2.97</v>
      </c>
      <c r="F32" s="63"/>
      <c r="G32" s="39"/>
      <c r="H32" s="40" t="e">
        <f>VLOOKUP(B32,#REF!,1,FALSE)</f>
        <v>#REF!</v>
      </c>
      <c r="I32" s="34" t="e">
        <f>VLOOKUP(B32,#REF!,1,FALSE)</f>
        <v>#REF!</v>
      </c>
    </row>
    <row r="33" spans="2:9" s="43" customFormat="1">
      <c r="B33" s="36">
        <v>4915631</v>
      </c>
      <c r="C33" s="37" t="e">
        <f>UPPER(VLOOKUP(B33,#REF!,2,FALSE))</f>
        <v>#REF!</v>
      </c>
      <c r="D33" s="38" t="e">
        <f>VLOOKUP(B33,#REF!,3,FALSE)</f>
        <v>#REF!</v>
      </c>
      <c r="E33" s="62">
        <v>345.1</v>
      </c>
      <c r="F33" s="63"/>
      <c r="G33" s="39"/>
      <c r="H33" s="40" t="e">
        <f>VLOOKUP(B33,#REF!,1,FALSE)</f>
        <v>#REF!</v>
      </c>
      <c r="I33" s="34" t="e">
        <f>VLOOKUP(B33,#REF!,1,FALSE)</f>
        <v>#REF!</v>
      </c>
    </row>
    <row r="34" spans="2:9" s="43" customFormat="1">
      <c r="B34" s="36">
        <v>4915632</v>
      </c>
      <c r="C34" s="37" t="e">
        <f>UPPER(VLOOKUP(B34,#REF!,2,FALSE))</f>
        <v>#REF!</v>
      </c>
      <c r="D34" s="38" t="e">
        <f>VLOOKUP(B34,#REF!,3,FALSE)</f>
        <v>#REF!</v>
      </c>
      <c r="E34" s="62">
        <v>493.04</v>
      </c>
      <c r="F34" s="63"/>
      <c r="G34" s="39"/>
      <c r="H34" s="40" t="e">
        <f>VLOOKUP(B34,#REF!,1,FALSE)</f>
        <v>#REF!</v>
      </c>
      <c r="I34" s="34" t="e">
        <f>VLOOKUP(B34,#REF!,1,FALSE)</f>
        <v>#REF!</v>
      </c>
    </row>
    <row r="35" spans="2:9" s="43" customFormat="1">
      <c r="B35" s="36">
        <v>4915656</v>
      </c>
      <c r="C35" s="37" t="e">
        <f>UPPER(VLOOKUP(B35,#REF!,2,FALSE))</f>
        <v>#REF!</v>
      </c>
      <c r="D35" s="38" t="e">
        <f>VLOOKUP(B35,#REF!,3,FALSE)</f>
        <v>#REF!</v>
      </c>
      <c r="E35" s="62">
        <v>89.63</v>
      </c>
      <c r="F35" s="63"/>
      <c r="G35" s="39"/>
      <c r="H35" s="40" t="e">
        <f>VLOOKUP(B35,#REF!,1,FALSE)</f>
        <v>#REF!</v>
      </c>
      <c r="I35" s="34" t="e">
        <f>VLOOKUP(B35,#REF!,1,FALSE)</f>
        <v>#REF!</v>
      </c>
    </row>
    <row r="36" spans="2:9" s="43" customFormat="1">
      <c r="B36" s="36">
        <v>4915657</v>
      </c>
      <c r="C36" s="37" t="e">
        <f>UPPER(VLOOKUP(B36,#REF!,2,FALSE))</f>
        <v>#REF!</v>
      </c>
      <c r="D36" s="38" t="e">
        <f>VLOOKUP(B36,#REF!,3,FALSE)</f>
        <v>#REF!</v>
      </c>
      <c r="E36" s="62">
        <v>75.819999999999993</v>
      </c>
      <c r="F36" s="63"/>
      <c r="G36" s="39"/>
      <c r="H36" s="40" t="e">
        <f>VLOOKUP(B36,#REF!,1,FALSE)</f>
        <v>#REF!</v>
      </c>
      <c r="I36" s="34" t="e">
        <f>VLOOKUP(B36,#REF!,1,FALSE)</f>
        <v>#REF!</v>
      </c>
    </row>
    <row r="37" spans="2:9" s="43" customFormat="1">
      <c r="B37" s="36">
        <v>4915658</v>
      </c>
      <c r="C37" s="37" t="e">
        <f>UPPER(VLOOKUP(B37,#REF!,2,FALSE))</f>
        <v>#REF!</v>
      </c>
      <c r="D37" s="38" t="e">
        <f>VLOOKUP(B37,#REF!,3,FALSE)</f>
        <v>#REF!</v>
      </c>
      <c r="E37" s="62">
        <v>66.73</v>
      </c>
      <c r="F37" s="63"/>
      <c r="G37" s="39"/>
      <c r="H37" s="40" t="e">
        <f>VLOOKUP(B37,#REF!,1,FALSE)</f>
        <v>#REF!</v>
      </c>
      <c r="I37" s="34" t="e">
        <f>VLOOKUP(B37,#REF!,1,FALSE)</f>
        <v>#REF!</v>
      </c>
    </row>
    <row r="38" spans="2:9" s="43" customFormat="1">
      <c r="B38" s="36">
        <v>4915659</v>
      </c>
      <c r="C38" s="37" t="e">
        <f>UPPER(VLOOKUP(B38,#REF!,2,FALSE))</f>
        <v>#REF!</v>
      </c>
      <c r="D38" s="38" t="e">
        <f>VLOOKUP(B38,#REF!,3,FALSE)</f>
        <v>#REF!</v>
      </c>
      <c r="E38" s="62">
        <v>60.41</v>
      </c>
      <c r="F38" s="63"/>
      <c r="G38" s="39"/>
      <c r="H38" s="40" t="e">
        <f>VLOOKUP(B38,#REF!,1,FALSE)</f>
        <v>#REF!</v>
      </c>
      <c r="I38" s="34" t="e">
        <f>VLOOKUP(B38,#REF!,1,FALSE)</f>
        <v>#REF!</v>
      </c>
    </row>
    <row r="39" spans="2:9" s="43" customFormat="1">
      <c r="B39" s="36">
        <v>4915660</v>
      </c>
      <c r="C39" s="37" t="e">
        <f>UPPER(VLOOKUP(B39,#REF!,2,FALSE))</f>
        <v>#REF!</v>
      </c>
      <c r="D39" s="38" t="e">
        <f>VLOOKUP(B39,#REF!,3,FALSE)</f>
        <v>#REF!</v>
      </c>
      <c r="E39" s="62">
        <v>55.86</v>
      </c>
      <c r="F39" s="63"/>
      <c r="G39" s="39"/>
      <c r="H39" s="40" t="e">
        <f>VLOOKUP(B39,#REF!,1,FALSE)</f>
        <v>#REF!</v>
      </c>
      <c r="I39" s="34" t="e">
        <f>VLOOKUP(B39,#REF!,1,FALSE)</f>
        <v>#REF!</v>
      </c>
    </row>
    <row r="40" spans="2:9" s="43" customFormat="1">
      <c r="B40" s="36">
        <v>4915662</v>
      </c>
      <c r="C40" s="37" t="e">
        <f>UPPER(VLOOKUP(B40,#REF!,2,FALSE))</f>
        <v>#REF!</v>
      </c>
      <c r="D40" s="38" t="e">
        <f>VLOOKUP(B40,#REF!,3,FALSE)</f>
        <v>#REF!</v>
      </c>
      <c r="E40" s="62">
        <v>113.82</v>
      </c>
      <c r="F40" s="63"/>
      <c r="G40" s="39"/>
      <c r="H40" s="40" t="e">
        <f>VLOOKUP(B40,#REF!,1,FALSE)</f>
        <v>#REF!</v>
      </c>
      <c r="I40" s="34" t="e">
        <f>VLOOKUP(B40,#REF!,1,FALSE)</f>
        <v>#REF!</v>
      </c>
    </row>
    <row r="41" spans="2:9" s="43" customFormat="1">
      <c r="B41" s="36">
        <v>4915663</v>
      </c>
      <c r="C41" s="37" t="e">
        <f>UPPER(VLOOKUP(B41,#REF!,2,FALSE))</f>
        <v>#REF!</v>
      </c>
      <c r="D41" s="38" t="e">
        <f>VLOOKUP(B41,#REF!,3,FALSE)</f>
        <v>#REF!</v>
      </c>
      <c r="E41" s="62">
        <v>94.75</v>
      </c>
      <c r="F41" s="63"/>
      <c r="G41" s="39"/>
      <c r="H41" s="40" t="e">
        <f>VLOOKUP(B41,#REF!,1,FALSE)</f>
        <v>#REF!</v>
      </c>
      <c r="I41" s="34" t="e">
        <f>VLOOKUP(B41,#REF!,1,FALSE)</f>
        <v>#REF!</v>
      </c>
    </row>
    <row r="42" spans="2:9" s="43" customFormat="1">
      <c r="B42" s="36">
        <v>4915664</v>
      </c>
      <c r="C42" s="37" t="e">
        <f>UPPER(VLOOKUP(B42,#REF!,2,FALSE))</f>
        <v>#REF!</v>
      </c>
      <c r="D42" s="38" t="e">
        <f>VLOOKUP(B42,#REF!,3,FALSE)</f>
        <v>#REF!</v>
      </c>
      <c r="E42" s="62">
        <v>83.9</v>
      </c>
      <c r="F42" s="63"/>
      <c r="G42" s="39"/>
      <c r="H42" s="40" t="e">
        <f>VLOOKUP(B42,#REF!,1,FALSE)</f>
        <v>#REF!</v>
      </c>
      <c r="I42" s="34" t="e">
        <f>VLOOKUP(B42,#REF!,1,FALSE)</f>
        <v>#REF!</v>
      </c>
    </row>
    <row r="43" spans="2:9" s="43" customFormat="1">
      <c r="B43" s="36">
        <v>4915665</v>
      </c>
      <c r="C43" s="37" t="e">
        <f>UPPER(VLOOKUP(B43,#REF!,2,FALSE))</f>
        <v>#REF!</v>
      </c>
      <c r="D43" s="38" t="e">
        <f>VLOOKUP(B43,#REF!,3,FALSE)</f>
        <v>#REF!</v>
      </c>
      <c r="E43" s="62">
        <v>76.400000000000006</v>
      </c>
      <c r="F43" s="63"/>
      <c r="G43" s="39"/>
      <c r="H43" s="40" t="e">
        <f>VLOOKUP(B43,#REF!,1,FALSE)</f>
        <v>#REF!</v>
      </c>
      <c r="I43" s="34" t="e">
        <f>VLOOKUP(B43,#REF!,1,FALSE)</f>
        <v>#REF!</v>
      </c>
    </row>
    <row r="44" spans="2:9" s="43" customFormat="1">
      <c r="B44" s="36">
        <v>4915666</v>
      </c>
      <c r="C44" s="37" t="e">
        <f>UPPER(VLOOKUP(B44,#REF!,2,FALSE))</f>
        <v>#REF!</v>
      </c>
      <c r="D44" s="38" t="e">
        <f>VLOOKUP(B44,#REF!,3,FALSE)</f>
        <v>#REF!</v>
      </c>
      <c r="E44" s="62">
        <v>71.010000000000005</v>
      </c>
      <c r="F44" s="63"/>
      <c r="G44" s="39"/>
      <c r="H44" s="40" t="e">
        <f>VLOOKUP(B44,#REF!,1,FALSE)</f>
        <v>#REF!</v>
      </c>
      <c r="I44" s="34" t="e">
        <f>VLOOKUP(B44,#REF!,1,FALSE)</f>
        <v>#REF!</v>
      </c>
    </row>
    <row r="45" spans="2:9" s="43" customFormat="1">
      <c r="B45" s="36">
        <v>4915672</v>
      </c>
      <c r="C45" s="37" t="e">
        <f>UPPER(VLOOKUP(B45,#REF!,2,FALSE))</f>
        <v>#REF!</v>
      </c>
      <c r="D45" s="38" t="e">
        <f>VLOOKUP(B45,#REF!,3,FALSE)</f>
        <v>#REF!</v>
      </c>
      <c r="E45" s="62">
        <v>6.71</v>
      </c>
      <c r="F45" s="63"/>
      <c r="G45" s="39"/>
      <c r="H45" s="40" t="e">
        <f>VLOOKUP(B45,#REF!,1,FALSE)</f>
        <v>#REF!</v>
      </c>
      <c r="I45" s="34" t="e">
        <f>VLOOKUP(B45,#REF!,1,FALSE)</f>
        <v>#REF!</v>
      </c>
    </row>
    <row r="46" spans="2:9" s="43" customFormat="1">
      <c r="B46" s="36">
        <v>4915698</v>
      </c>
      <c r="C46" s="37" t="e">
        <f>UPPER(VLOOKUP(B46,#REF!,2,FALSE))</f>
        <v>#REF!</v>
      </c>
      <c r="D46" s="38" t="e">
        <f>VLOOKUP(B46,#REF!,3,FALSE)</f>
        <v>#REF!</v>
      </c>
      <c r="E46" s="62">
        <v>20.28</v>
      </c>
      <c r="F46" s="63"/>
      <c r="G46" s="39"/>
      <c r="H46" s="40" t="e">
        <f>VLOOKUP(B46,#REF!,1,FALSE)</f>
        <v>#REF!</v>
      </c>
      <c r="I46" s="34" t="e">
        <f>VLOOKUP(B46,#REF!,1,FALSE)</f>
        <v>#REF!</v>
      </c>
    </row>
    <row r="47" spans="2:9" s="43" customFormat="1">
      <c r="B47" s="36">
        <v>4915699</v>
      </c>
      <c r="C47" s="37" t="e">
        <f>UPPER(VLOOKUP(B47,#REF!,2,FALSE))</f>
        <v>#REF!</v>
      </c>
      <c r="D47" s="38" t="e">
        <f>VLOOKUP(B47,#REF!,3,FALSE)</f>
        <v>#REF!</v>
      </c>
      <c r="E47" s="62">
        <v>35.15</v>
      </c>
      <c r="F47" s="63"/>
      <c r="G47" s="39"/>
      <c r="H47" s="40" t="e">
        <f>VLOOKUP(B47,#REF!,1,FALSE)</f>
        <v>#REF!</v>
      </c>
      <c r="I47" s="34" t="e">
        <f>VLOOKUP(B47,#REF!,1,FALSE)</f>
        <v>#REF!</v>
      </c>
    </row>
    <row r="48" spans="2:9" s="43" customFormat="1">
      <c r="B48" s="36">
        <v>4915703</v>
      </c>
      <c r="C48" s="37" t="e">
        <f>UPPER(VLOOKUP(B48,#REF!,2,FALSE))</f>
        <v>#REF!</v>
      </c>
      <c r="D48" s="38" t="e">
        <f>VLOOKUP(B48,#REF!,3,FALSE)</f>
        <v>#REF!</v>
      </c>
      <c r="E48" s="62">
        <v>163.18</v>
      </c>
      <c r="F48" s="63"/>
      <c r="G48" s="39"/>
      <c r="H48" s="40" t="e">
        <f>VLOOKUP(B48,#REF!,1,FALSE)</f>
        <v>#REF!</v>
      </c>
      <c r="I48" s="34" t="e">
        <f>VLOOKUP(B48,#REF!,1,FALSE)</f>
        <v>#REF!</v>
      </c>
    </row>
    <row r="49" spans="2:9" s="43" customFormat="1">
      <c r="B49" s="36">
        <v>4915705</v>
      </c>
      <c r="C49" s="37" t="e">
        <f>UPPER(VLOOKUP(B49,#REF!,2,FALSE))</f>
        <v>#REF!</v>
      </c>
      <c r="D49" s="38" t="e">
        <f>VLOOKUP(B49,#REF!,3,FALSE)</f>
        <v>#REF!</v>
      </c>
      <c r="E49" s="62">
        <v>142.38999999999999</v>
      </c>
      <c r="F49" s="63"/>
      <c r="G49" s="39"/>
      <c r="H49" s="40" t="e">
        <f>VLOOKUP(B49,#REF!,1,FALSE)</f>
        <v>#REF!</v>
      </c>
      <c r="I49" s="34" t="e">
        <f>VLOOKUP(B49,#REF!,1,FALSE)</f>
        <v>#REF!</v>
      </c>
    </row>
    <row r="50" spans="2:9" s="43" customFormat="1">
      <c r="B50" s="36">
        <v>4915708</v>
      </c>
      <c r="C50" s="37" t="e">
        <f>UPPER(VLOOKUP(B50,#REF!,2,FALSE))</f>
        <v>#REF!</v>
      </c>
      <c r="D50" s="38" t="e">
        <f>VLOOKUP(B50,#REF!,3,FALSE)</f>
        <v>#REF!</v>
      </c>
      <c r="E50" s="62">
        <v>1.1200000000000001</v>
      </c>
      <c r="F50" s="63"/>
      <c r="G50" s="39"/>
      <c r="H50" s="40" t="e">
        <f>VLOOKUP(B50,#REF!,1,FALSE)</f>
        <v>#REF!</v>
      </c>
      <c r="I50" s="34" t="e">
        <f>VLOOKUP(B50,#REF!,1,FALSE)</f>
        <v>#REF!</v>
      </c>
    </row>
    <row r="51" spans="2:9" s="43" customFormat="1">
      <c r="B51" s="36">
        <v>4915711</v>
      </c>
      <c r="C51" s="37" t="e">
        <f>UPPER(VLOOKUP(B51,#REF!,2,FALSE))</f>
        <v>#REF!</v>
      </c>
      <c r="D51" s="38" t="e">
        <f>VLOOKUP(B51,#REF!,3,FALSE)</f>
        <v>#REF!</v>
      </c>
      <c r="E51" s="62">
        <v>2.2400000000000002</v>
      </c>
      <c r="F51" s="63"/>
      <c r="G51" s="39"/>
      <c r="H51" s="40" t="e">
        <f>VLOOKUP(B51,#REF!,1,FALSE)</f>
        <v>#REF!</v>
      </c>
      <c r="I51" s="34" t="e">
        <f>VLOOKUP(B51,#REF!,1,FALSE)</f>
        <v>#REF!</v>
      </c>
    </row>
    <row r="52" spans="2:9" s="43" customFormat="1">
      <c r="B52" s="36">
        <v>4915712</v>
      </c>
      <c r="C52" s="37" t="e">
        <f>UPPER(VLOOKUP(B52,#REF!,2,FALSE))</f>
        <v>#REF!</v>
      </c>
      <c r="D52" s="38" t="e">
        <f>VLOOKUP(B52,#REF!,3,FALSE)</f>
        <v>#REF!</v>
      </c>
      <c r="E52" s="62">
        <v>33.58</v>
      </c>
      <c r="F52" s="63"/>
      <c r="G52" s="39"/>
      <c r="H52" s="40" t="e">
        <f>VLOOKUP(B52,#REF!,1,FALSE)</f>
        <v>#REF!</v>
      </c>
      <c r="I52" s="34" t="e">
        <f>VLOOKUP(B52,#REF!,1,FALSE)</f>
        <v>#REF!</v>
      </c>
    </row>
    <row r="53" spans="2:9" s="43" customFormat="1">
      <c r="B53" s="36">
        <v>4915713</v>
      </c>
      <c r="C53" s="37" t="e">
        <f>UPPER(VLOOKUP(B53,#REF!,2,FALSE))</f>
        <v>#REF!</v>
      </c>
      <c r="D53" s="38" t="e">
        <f>VLOOKUP(B53,#REF!,3,FALSE)</f>
        <v>#REF!</v>
      </c>
      <c r="E53" s="62">
        <v>100.74</v>
      </c>
      <c r="F53" s="63"/>
      <c r="G53" s="39"/>
      <c r="H53" s="40" t="e">
        <f>VLOOKUP(B53,#REF!,1,FALSE)</f>
        <v>#REF!</v>
      </c>
      <c r="I53" s="34" t="e">
        <f>VLOOKUP(B53,#REF!,1,FALSE)</f>
        <v>#REF!</v>
      </c>
    </row>
    <row r="54" spans="2:9" s="43" customFormat="1">
      <c r="B54" s="36">
        <v>4915724</v>
      </c>
      <c r="C54" s="37" t="e">
        <f>UPPER(VLOOKUP(B54,#REF!,2,FALSE))</f>
        <v>#REF!</v>
      </c>
      <c r="D54" s="38" t="e">
        <f>VLOOKUP(B54,#REF!,3,FALSE)</f>
        <v>#REF!</v>
      </c>
      <c r="E54" s="62">
        <v>2.61</v>
      </c>
      <c r="F54" s="63"/>
      <c r="G54" s="39"/>
      <c r="H54" s="40" t="e">
        <f>VLOOKUP(B54,#REF!,1,FALSE)</f>
        <v>#REF!</v>
      </c>
      <c r="I54" s="34" t="e">
        <f>VLOOKUP(B54,#REF!,1,FALSE)</f>
        <v>#REF!</v>
      </c>
    </row>
    <row r="55" spans="2:9" s="43" customFormat="1">
      <c r="B55" s="36">
        <v>4915733</v>
      </c>
      <c r="C55" s="37" t="e">
        <f>UPPER(VLOOKUP(B55,#REF!,2,FALSE))</f>
        <v>#REF!</v>
      </c>
      <c r="D55" s="38" t="e">
        <f>VLOOKUP(B55,#REF!,3,FALSE)</f>
        <v>#REF!</v>
      </c>
      <c r="E55" s="62">
        <v>64.31</v>
      </c>
      <c r="F55" s="63"/>
      <c r="G55" s="39"/>
      <c r="H55" s="40" t="e">
        <f>VLOOKUP(B55,#REF!,1,FALSE)</f>
        <v>#REF!</v>
      </c>
      <c r="I55" s="34" t="e">
        <f>VLOOKUP(B55,#REF!,1,FALSE)</f>
        <v>#REF!</v>
      </c>
    </row>
    <row r="56" spans="2:9" s="43" customFormat="1">
      <c r="B56" s="36">
        <v>4915734</v>
      </c>
      <c r="C56" s="37" t="e">
        <f>UPPER(VLOOKUP(B56,#REF!,2,FALSE))</f>
        <v>#REF!</v>
      </c>
      <c r="D56" s="38" t="e">
        <f>VLOOKUP(B56,#REF!,3,FALSE)</f>
        <v>#REF!</v>
      </c>
      <c r="E56" s="62">
        <v>20.36</v>
      </c>
      <c r="F56" s="63"/>
      <c r="G56" s="39"/>
      <c r="H56" s="40" t="e">
        <f>VLOOKUP(B56,#REF!,1,FALSE)</f>
        <v>#REF!</v>
      </c>
      <c r="I56" s="34" t="e">
        <f>VLOOKUP(B56,#REF!,1,FALSE)</f>
        <v>#REF!</v>
      </c>
    </row>
    <row r="57" spans="2:9" s="43" customFormat="1">
      <c r="B57" s="36">
        <v>4915735</v>
      </c>
      <c r="C57" s="37" t="e">
        <f>UPPER(VLOOKUP(B57,#REF!,2,FALSE))</f>
        <v>#REF!</v>
      </c>
      <c r="D57" s="38" t="e">
        <f>VLOOKUP(B57,#REF!,3,FALSE)</f>
        <v>#REF!</v>
      </c>
      <c r="E57" s="62">
        <v>20.86</v>
      </c>
      <c r="F57" s="63"/>
      <c r="G57" s="39"/>
      <c r="H57" s="40" t="e">
        <f>VLOOKUP(B57,#REF!,1,FALSE)</f>
        <v>#REF!</v>
      </c>
      <c r="I57" s="34" t="e">
        <f>VLOOKUP(B57,#REF!,1,FALSE)</f>
        <v>#REF!</v>
      </c>
    </row>
    <row r="58" spans="2:9" s="43" customFormat="1">
      <c r="B58" s="36">
        <v>4915737</v>
      </c>
      <c r="C58" s="37" t="e">
        <f>UPPER(VLOOKUP(B58,#REF!,2,FALSE))</f>
        <v>#REF!</v>
      </c>
      <c r="D58" s="38" t="e">
        <f>VLOOKUP(B58,#REF!,3,FALSE)</f>
        <v>#REF!</v>
      </c>
      <c r="E58" s="62">
        <v>8.23</v>
      </c>
      <c r="F58" s="63"/>
      <c r="G58" s="39"/>
      <c r="H58" s="40" t="e">
        <f>VLOOKUP(B58,#REF!,1,FALSE)</f>
        <v>#REF!</v>
      </c>
      <c r="I58" s="34" t="e">
        <f>VLOOKUP(B58,#REF!,1,FALSE)</f>
        <v>#REF!</v>
      </c>
    </row>
    <row r="59" spans="2:9" s="43" customFormat="1">
      <c r="B59" s="36">
        <v>4915742</v>
      </c>
      <c r="C59" s="37" t="e">
        <f>UPPER(VLOOKUP(B59,#REF!,2,FALSE))</f>
        <v>#REF!</v>
      </c>
      <c r="D59" s="38" t="e">
        <f>VLOOKUP(B59,#REF!,3,FALSE)</f>
        <v>#REF!</v>
      </c>
      <c r="E59" s="62">
        <v>675.83</v>
      </c>
      <c r="F59" s="63"/>
      <c r="G59" s="39"/>
      <c r="H59" s="40" t="e">
        <f>VLOOKUP(B59,#REF!,1,FALSE)</f>
        <v>#REF!</v>
      </c>
      <c r="I59" s="34" t="e">
        <f>VLOOKUP(B59,#REF!,1,FALSE)</f>
        <v>#REF!</v>
      </c>
    </row>
    <row r="60" spans="2:9" s="43" customFormat="1">
      <c r="B60" s="36">
        <v>4915744</v>
      </c>
      <c r="C60" s="37" t="e">
        <f>UPPER(VLOOKUP(B60,#REF!,2,FALSE))</f>
        <v>#REF!</v>
      </c>
      <c r="D60" s="38" t="e">
        <f>VLOOKUP(B60,#REF!,3,FALSE)</f>
        <v>#REF!</v>
      </c>
      <c r="E60" s="62">
        <v>1.1599999999999999</v>
      </c>
      <c r="F60" s="63"/>
      <c r="G60" s="39"/>
      <c r="H60" s="40" t="e">
        <f>VLOOKUP(B60,#REF!,1,FALSE)</f>
        <v>#REF!</v>
      </c>
      <c r="I60" s="34" t="e">
        <f>VLOOKUP(B60,#REF!,1,FALSE)</f>
        <v>#REF!</v>
      </c>
    </row>
    <row r="61" spans="2:9" s="43" customFormat="1">
      <c r="B61" s="36">
        <v>4915757</v>
      </c>
      <c r="C61" s="37" t="e">
        <f>UPPER(VLOOKUP(B61,#REF!,2,FALSE))</f>
        <v>#REF!</v>
      </c>
      <c r="D61" s="38" t="e">
        <f>VLOOKUP(B61,#REF!,3,FALSE)</f>
        <v>#REF!</v>
      </c>
      <c r="E61" s="62">
        <v>536.02</v>
      </c>
      <c r="F61" s="63"/>
      <c r="G61" s="39"/>
      <c r="H61" s="40" t="e">
        <f>VLOOKUP(B61,#REF!,1,FALSE)</f>
        <v>#REF!</v>
      </c>
      <c r="I61" s="34" t="e">
        <f>VLOOKUP(B61,#REF!,1,FALSE)</f>
        <v>#REF!</v>
      </c>
    </row>
    <row r="62" spans="2:9" s="43" customFormat="1">
      <c r="B62" s="36">
        <v>4915764</v>
      </c>
      <c r="C62" s="37" t="e">
        <f>UPPER(VLOOKUP(B62,#REF!,2,FALSE))</f>
        <v>#REF!</v>
      </c>
      <c r="D62" s="38" t="e">
        <f>VLOOKUP(B62,#REF!,3,FALSE)</f>
        <v>#REF!</v>
      </c>
      <c r="E62" s="62">
        <v>454.11</v>
      </c>
      <c r="F62" s="63"/>
      <c r="G62" s="39"/>
      <c r="H62" s="40" t="e">
        <f>VLOOKUP(B62,#REF!,1,FALSE)</f>
        <v>#REF!</v>
      </c>
      <c r="I62" s="34" t="e">
        <f>VLOOKUP(B62,#REF!,1,FALSE)</f>
        <v>#REF!</v>
      </c>
    </row>
    <row r="63" spans="2:9" s="43" customFormat="1">
      <c r="B63" s="36">
        <v>4915765</v>
      </c>
      <c r="C63" s="37" t="e">
        <f>UPPER(VLOOKUP(B63,#REF!,2,FALSE))</f>
        <v>#REF!</v>
      </c>
      <c r="D63" s="38" t="e">
        <f>VLOOKUP(B63,#REF!,3,FALSE)</f>
        <v>#REF!</v>
      </c>
      <c r="E63" s="62">
        <v>252.29</v>
      </c>
      <c r="F63" s="63"/>
      <c r="G63" s="39"/>
      <c r="H63" s="40" t="e">
        <f>VLOOKUP(B63,#REF!,1,FALSE)</f>
        <v>#REF!</v>
      </c>
      <c r="I63" s="34" t="e">
        <f>VLOOKUP(B63,#REF!,1,FALSE)</f>
        <v>#REF!</v>
      </c>
    </row>
    <row r="64" spans="2:9" s="43" customFormat="1">
      <c r="B64" s="36">
        <v>4915766</v>
      </c>
      <c r="C64" s="37" t="e">
        <f>UPPER(VLOOKUP(B64,#REF!,2,FALSE))</f>
        <v>#REF!</v>
      </c>
      <c r="D64" s="38" t="e">
        <f>VLOOKUP(B64,#REF!,3,FALSE)</f>
        <v>#REF!</v>
      </c>
      <c r="E64" s="62">
        <v>148.07</v>
      </c>
      <c r="F64" s="63"/>
      <c r="G64" s="39"/>
      <c r="H64" s="40" t="e">
        <f>VLOOKUP(B64,#REF!,1,FALSE)</f>
        <v>#REF!</v>
      </c>
      <c r="I64" s="34" t="e">
        <f>VLOOKUP(B64,#REF!,1,FALSE)</f>
        <v>#REF!</v>
      </c>
    </row>
    <row r="65" spans="2:9" s="43" customFormat="1">
      <c r="B65" s="36">
        <v>4915767</v>
      </c>
      <c r="C65" s="37" t="e">
        <f>UPPER(VLOOKUP(B65,#REF!,2,FALSE))</f>
        <v>#REF!</v>
      </c>
      <c r="D65" s="38" t="e">
        <f>VLOOKUP(B65,#REF!,3,FALSE)</f>
        <v>#REF!</v>
      </c>
      <c r="E65" s="62">
        <v>97.31</v>
      </c>
      <c r="F65" s="63"/>
      <c r="G65" s="39"/>
      <c r="H65" s="40" t="e">
        <f>VLOOKUP(B65,#REF!,1,FALSE)</f>
        <v>#REF!</v>
      </c>
      <c r="I65" s="34" t="e">
        <f>VLOOKUP(B65,#REF!,1,FALSE)</f>
        <v>#REF!</v>
      </c>
    </row>
    <row r="66" spans="2:9" s="43" customFormat="1">
      <c r="B66" s="36">
        <v>4915768</v>
      </c>
      <c r="C66" s="37" t="e">
        <f>UPPER(VLOOKUP(B66,#REF!,2,FALSE))</f>
        <v>#REF!</v>
      </c>
      <c r="D66" s="38" t="e">
        <f>VLOOKUP(B66,#REF!,3,FALSE)</f>
        <v>#REF!</v>
      </c>
      <c r="E66" s="62">
        <v>22.27</v>
      </c>
      <c r="F66" s="63"/>
      <c r="G66" s="39"/>
      <c r="H66" s="40" t="e">
        <f>VLOOKUP(B66,#REF!,1,FALSE)</f>
        <v>#REF!</v>
      </c>
      <c r="I66" s="34" t="e">
        <f>VLOOKUP(B66,#REF!,1,FALSE)</f>
        <v>#REF!</v>
      </c>
    </row>
    <row r="67" spans="2:9" s="43" customFormat="1">
      <c r="B67" s="36">
        <v>4915775</v>
      </c>
      <c r="C67" s="37" t="e">
        <f>UPPER(VLOOKUP(B67,#REF!,2,FALSE))</f>
        <v>#REF!</v>
      </c>
      <c r="D67" s="38" t="e">
        <f>VLOOKUP(B67,#REF!,3,FALSE)</f>
        <v>#REF!</v>
      </c>
      <c r="E67" s="62">
        <v>1091.77</v>
      </c>
      <c r="F67" s="63"/>
      <c r="G67" s="39"/>
      <c r="H67" s="40" t="e">
        <f>VLOOKUP(B67,#REF!,1,FALSE)</f>
        <v>#REF!</v>
      </c>
      <c r="I67" s="34" t="e">
        <f>VLOOKUP(B67,#REF!,1,FALSE)</f>
        <v>#REF!</v>
      </c>
    </row>
    <row r="68" spans="2:9" s="43" customFormat="1">
      <c r="B68" s="36">
        <v>4915776</v>
      </c>
      <c r="C68" s="37" t="e">
        <f>UPPER(VLOOKUP(B68,#REF!,2,FALSE))</f>
        <v>#REF!</v>
      </c>
      <c r="D68" s="38" t="e">
        <f>VLOOKUP(B68,#REF!,3,FALSE)</f>
        <v>#REF!</v>
      </c>
      <c r="E68" s="62">
        <v>1199.5899999999999</v>
      </c>
      <c r="F68" s="63"/>
      <c r="G68" s="39"/>
      <c r="H68" s="40" t="e">
        <f>VLOOKUP(B68,#REF!,1,FALSE)</f>
        <v>#REF!</v>
      </c>
      <c r="I68" s="34" t="e">
        <f>VLOOKUP(B68,#REF!,1,FALSE)</f>
        <v>#REF!</v>
      </c>
    </row>
    <row r="69" spans="2:9" s="43" customFormat="1">
      <c r="B69" s="36">
        <v>4915786</v>
      </c>
      <c r="C69" s="37" t="e">
        <f>UPPER(VLOOKUP(B69,#REF!,2,FALSE))</f>
        <v>#REF!</v>
      </c>
      <c r="D69" s="38" t="e">
        <f>VLOOKUP(B69,#REF!,3,FALSE)</f>
        <v>#REF!</v>
      </c>
      <c r="E69" s="62">
        <v>257.44</v>
      </c>
      <c r="F69" s="63"/>
      <c r="G69" s="39"/>
      <c r="H69" s="40" t="e">
        <f>VLOOKUP(B69,#REF!,1,FALSE)</f>
        <v>#REF!</v>
      </c>
      <c r="I69" s="34" t="e">
        <f>VLOOKUP(B69,#REF!,1,FALSE)</f>
        <v>#REF!</v>
      </c>
    </row>
    <row r="70" spans="2:9" s="34" customFormat="1">
      <c r="B70" s="41">
        <v>4915794</v>
      </c>
      <c r="C70" s="37" t="e">
        <f>UPPER(VLOOKUP(B70,#REF!,2,FALSE))</f>
        <v>#REF!</v>
      </c>
      <c r="D70" s="38" t="e">
        <f>VLOOKUP(B70,#REF!,3,FALSE)</f>
        <v>#REF!</v>
      </c>
      <c r="E70" s="62">
        <v>831.07</v>
      </c>
      <c r="F70" s="63"/>
      <c r="G70" s="39"/>
      <c r="H70" s="40" t="e">
        <f>VLOOKUP(B70,#REF!,1,FALSE)</f>
        <v>#REF!</v>
      </c>
      <c r="I70" s="34" t="e">
        <f>VLOOKUP(B70,#REF!,1,FALSE)</f>
        <v>#REF!</v>
      </c>
    </row>
    <row r="71" spans="2:9" s="34" customFormat="1">
      <c r="B71" s="36">
        <v>4915795</v>
      </c>
      <c r="C71" s="37" t="e">
        <f>UPPER(VLOOKUP(B71,#REF!,2,FALSE))</f>
        <v>#REF!</v>
      </c>
      <c r="D71" s="38" t="e">
        <f>VLOOKUP(B71,#REF!,3,FALSE)</f>
        <v>#REF!</v>
      </c>
      <c r="E71" s="62">
        <v>499.74</v>
      </c>
      <c r="F71" s="63"/>
      <c r="G71" s="39"/>
      <c r="H71" s="40" t="e">
        <f>VLOOKUP(B71,#REF!,1,FALSE)</f>
        <v>#REF!</v>
      </c>
      <c r="I71" s="34" t="e">
        <f>VLOOKUP(B71,#REF!,1,FALSE)</f>
        <v>#REF!</v>
      </c>
    </row>
    <row r="72" spans="2:9" s="34" customFormat="1">
      <c r="B72" s="36">
        <v>4915799</v>
      </c>
      <c r="C72" s="37" t="e">
        <f>UPPER(VLOOKUP(B72,#REF!,2,FALSE))</f>
        <v>#REF!</v>
      </c>
      <c r="D72" s="38" t="e">
        <f>VLOOKUP(B72,#REF!,3,FALSE)</f>
        <v>#REF!</v>
      </c>
      <c r="E72" s="62">
        <v>52.92</v>
      </c>
      <c r="F72" s="63"/>
      <c r="G72" s="39"/>
      <c r="H72" s="40" t="e">
        <f>VLOOKUP(B72,#REF!,1,FALSE)</f>
        <v>#REF!</v>
      </c>
      <c r="I72" s="34" t="e">
        <f>VLOOKUP(B72,#REF!,1,FALSE)</f>
        <v>#REF!</v>
      </c>
    </row>
    <row r="73" spans="2:9" s="34" customFormat="1">
      <c r="B73" s="36">
        <v>5214001</v>
      </c>
      <c r="C73" s="37" t="e">
        <f>UPPER(VLOOKUP(B73,#REF!,2,FALSE))</f>
        <v>#REF!</v>
      </c>
      <c r="D73" s="38" t="e">
        <f>VLOOKUP(B73,#REF!,3,FALSE)</f>
        <v>#REF!</v>
      </c>
      <c r="E73" s="62">
        <v>17.45</v>
      </c>
      <c r="F73" s="63"/>
      <c r="G73" s="39"/>
      <c r="H73" s="40" t="e">
        <f>VLOOKUP(B73,#REF!,1,FALSE)</f>
        <v>#REF!</v>
      </c>
      <c r="I73" s="34" t="e">
        <f>VLOOKUP(B73,#REF!,1,FALSE)</f>
        <v>#REF!</v>
      </c>
    </row>
    <row r="74" spans="2:9" s="34" customFormat="1">
      <c r="B74" s="36">
        <v>5501700</v>
      </c>
      <c r="C74" s="37" t="e">
        <f>UPPER(VLOOKUP(B74,#REF!,2,FALSE))</f>
        <v>#REF!</v>
      </c>
      <c r="D74" s="38" t="e">
        <f>VLOOKUP(B74,#REF!,3,FALSE)</f>
        <v>#REF!</v>
      </c>
      <c r="E74" s="62">
        <v>0.74</v>
      </c>
      <c r="F74" s="63"/>
      <c r="G74" s="39"/>
      <c r="H74" s="40" t="e">
        <f>VLOOKUP(B74,#REF!,1,FALSE)</f>
        <v>#REF!</v>
      </c>
      <c r="I74" s="34" t="e">
        <f>VLOOKUP(B74,#REF!,1,FALSE)</f>
        <v>#REF!</v>
      </c>
    </row>
    <row r="75" spans="2:9" s="34" customFormat="1">
      <c r="B75" s="36">
        <v>5501701</v>
      </c>
      <c r="C75" s="37" t="e">
        <f>UPPER(VLOOKUP(B75,#REF!,2,FALSE))</f>
        <v>#REF!</v>
      </c>
      <c r="D75" s="38" t="e">
        <f>VLOOKUP(B75,#REF!,3,FALSE)</f>
        <v>#REF!</v>
      </c>
      <c r="E75" s="62">
        <v>54.44</v>
      </c>
      <c r="F75" s="63"/>
      <c r="G75" s="39"/>
      <c r="H75" s="40" t="e">
        <f>VLOOKUP(B75,#REF!,1,FALSE)</f>
        <v>#REF!</v>
      </c>
      <c r="I75" s="34" t="e">
        <f>VLOOKUP(B75,#REF!,1,FALSE)</f>
        <v>#REF!</v>
      </c>
    </row>
    <row r="76" spans="2:9" s="34" customFormat="1">
      <c r="B76" s="36">
        <v>5915015</v>
      </c>
      <c r="C76" s="44" t="e">
        <f>UPPER(VLOOKUP(B76,#REF!,2,FALSE))</f>
        <v>#REF!</v>
      </c>
      <c r="D76" s="42" t="e">
        <f>VLOOKUP(B76,#REF!,3,FALSE)</f>
        <v>#REF!</v>
      </c>
      <c r="E76" s="62">
        <v>27.73</v>
      </c>
      <c r="F76" s="64"/>
      <c r="G76" s="39"/>
      <c r="H76" s="40" t="e">
        <f>VLOOKUP(B76,#REF!,1,FALSE)</f>
        <v>#REF!</v>
      </c>
      <c r="I76" s="34" t="e">
        <f>VLOOKUP(B76,#REF!,1,FALSE)</f>
        <v>#REF!</v>
      </c>
    </row>
    <row r="77" spans="2:9" s="34" customFormat="1">
      <c r="B77" s="36">
        <v>5915459</v>
      </c>
      <c r="C77" s="44" t="e">
        <f>UPPER(VLOOKUP(B77,#REF!,2,FALSE))</f>
        <v>#REF!</v>
      </c>
      <c r="D77" s="42" t="e">
        <f>VLOOKUP(B77,#REF!,3,FALSE)</f>
        <v>#REF!</v>
      </c>
      <c r="E77" s="62">
        <v>10.36</v>
      </c>
      <c r="F77" s="64"/>
      <c r="G77" s="39"/>
      <c r="H77" s="40" t="e">
        <f>VLOOKUP(B77,#REF!,1,FALSE)</f>
        <v>#REF!</v>
      </c>
      <c r="I77" s="34" t="e">
        <f>VLOOKUP(B77,#REF!,1,FALSE)</f>
        <v>#REF!</v>
      </c>
    </row>
    <row r="78" spans="2:9" s="34" customFormat="1">
      <c r="B78" s="36">
        <v>6416078</v>
      </c>
      <c r="C78" s="44" t="e">
        <f>UPPER(VLOOKUP(B78,#REF!,2,FALSE))</f>
        <v>#REF!</v>
      </c>
      <c r="D78" s="42" t="e">
        <f>VLOOKUP(B78,#REF!,3,FALSE)</f>
        <v>#REF!</v>
      </c>
      <c r="E78" s="62">
        <v>213.12</v>
      </c>
      <c r="F78" s="64"/>
      <c r="G78" s="39"/>
      <c r="H78" s="40" t="e">
        <f>VLOOKUP(B78,#REF!,1,FALSE)</f>
        <v>#REF!</v>
      </c>
      <c r="I78" s="34" t="e">
        <f>VLOOKUP(B78,#REF!,1,FALSE)</f>
        <v>#REF!</v>
      </c>
    </row>
    <row r="79" spans="2:9" s="34" customFormat="1">
      <c r="B79" s="36"/>
      <c r="C79" s="44"/>
      <c r="D79" s="42"/>
      <c r="E79" s="70"/>
      <c r="F79" s="64"/>
      <c r="G79" s="39"/>
      <c r="H79" s="40"/>
    </row>
    <row r="80" spans="2:9" s="34" customFormat="1" ht="19.5">
      <c r="B80" s="71" t="s">
        <v>16</v>
      </c>
      <c r="C80" s="37"/>
      <c r="D80" s="38"/>
      <c r="E80" s="66"/>
      <c r="F80" s="66"/>
      <c r="G80" s="39"/>
      <c r="H80" s="40"/>
    </row>
    <row r="81" spans="2:9" s="34" customFormat="1">
      <c r="B81" s="36">
        <v>5914464</v>
      </c>
      <c r="C81" s="37" t="e">
        <f>UPPER(VLOOKUP(B81,#REF!,2,FALSE))</f>
        <v>#REF!</v>
      </c>
      <c r="D81" s="38" t="e">
        <f>VLOOKUP(B81,#REF!,3,FALSE)</f>
        <v>#REF!</v>
      </c>
      <c r="E81" s="62">
        <v>1.19</v>
      </c>
      <c r="F81" s="63"/>
      <c r="G81" s="39"/>
      <c r="H81" s="40" t="e">
        <f>VLOOKUP(B81,#REF!,1,FALSE)</f>
        <v>#REF!</v>
      </c>
      <c r="I81" s="34" t="e">
        <f>VLOOKUP(B81,#REF!,1,FALSE)</f>
        <v>#REF!</v>
      </c>
    </row>
    <row r="82" spans="2:9" s="34" customFormat="1">
      <c r="B82" s="36">
        <v>5914479</v>
      </c>
      <c r="C82" s="37" t="e">
        <f>UPPER(VLOOKUP(B82,#REF!,2,FALSE))</f>
        <v>#REF!</v>
      </c>
      <c r="D82" s="38" t="e">
        <f>VLOOKUP(B82,#REF!,3,FALSE)</f>
        <v>#REF!</v>
      </c>
      <c r="E82" s="62">
        <v>0.96</v>
      </c>
      <c r="F82" s="63"/>
      <c r="G82" s="39"/>
      <c r="H82" s="40" t="e">
        <f>VLOOKUP(B82,#REF!,1,FALSE)</f>
        <v>#REF!</v>
      </c>
      <c r="I82" s="34" t="e">
        <f>VLOOKUP(B82,#REF!,1,FALSE)</f>
        <v>#REF!</v>
      </c>
    </row>
    <row r="83" spans="2:9" s="34" customFormat="1">
      <c r="B83" s="36">
        <v>5915014</v>
      </c>
      <c r="C83" s="37" t="e">
        <f>UPPER(VLOOKUP(B83,#REF!,2,FALSE))</f>
        <v>#REF!</v>
      </c>
      <c r="D83" s="38" t="e">
        <f>VLOOKUP(B83,#REF!,3,FALSE)</f>
        <v>#REF!</v>
      </c>
      <c r="E83" s="62">
        <v>1.72</v>
      </c>
      <c r="F83" s="63"/>
      <c r="G83" s="39"/>
      <c r="H83" s="40" t="e">
        <f>VLOOKUP(B83,#REF!,1,FALSE)</f>
        <v>#REF!</v>
      </c>
      <c r="I83" s="34" t="e">
        <f>VLOOKUP(B83,#REF!,1,FALSE)</f>
        <v>#REF!</v>
      </c>
    </row>
    <row r="84" spans="2:9" s="34" customFormat="1">
      <c r="B84" s="36">
        <v>5915320</v>
      </c>
      <c r="C84" s="37" t="e">
        <f>UPPER(VLOOKUP(B84,#REF!,2,FALSE))</f>
        <v>#REF!</v>
      </c>
      <c r="D84" s="38" t="e">
        <f>VLOOKUP(B84,#REF!,3,FALSE)</f>
        <v>#REF!</v>
      </c>
      <c r="E84" s="62">
        <v>1.03</v>
      </c>
      <c r="F84" s="63"/>
      <c r="G84" s="39"/>
      <c r="H84" s="40" t="e">
        <f>VLOOKUP(B84,#REF!,1,FALSE)</f>
        <v>#REF!</v>
      </c>
      <c r="I84" s="34" t="e">
        <f>VLOOKUP(B84,#REF!,1,FALSE)</f>
        <v>#REF!</v>
      </c>
    </row>
    <row r="85" spans="2:9" s="34" customFormat="1">
      <c r="B85" s="36">
        <v>5915321</v>
      </c>
      <c r="C85" s="37" t="e">
        <f>UPPER(VLOOKUP(B85,#REF!,2,FALSE))</f>
        <v>#REF!</v>
      </c>
      <c r="D85" s="38" t="e">
        <f>VLOOKUP(B85,#REF!,3,FALSE)</f>
        <v>#REF!</v>
      </c>
      <c r="E85" s="62">
        <v>0.92</v>
      </c>
      <c r="F85" s="63"/>
      <c r="G85" s="39"/>
      <c r="H85" s="40" t="e">
        <f>VLOOKUP(B85,#REF!,1,FALSE)</f>
        <v>#REF!</v>
      </c>
      <c r="I85" s="34" t="e">
        <f>VLOOKUP(B85,#REF!,1,FALSE)</f>
        <v>#REF!</v>
      </c>
    </row>
    <row r="86" spans="2:9" s="12" customFormat="1">
      <c r="B86" s="38"/>
      <c r="C86" s="37"/>
      <c r="D86" s="38"/>
      <c r="E86" s="66"/>
      <c r="F86" s="66"/>
      <c r="G86" s="9"/>
      <c r="H86" s="13"/>
    </row>
    <row r="87" spans="2:9" s="34" customFormat="1" ht="19.5">
      <c r="B87" s="71" t="s">
        <v>88</v>
      </c>
      <c r="C87" s="37"/>
      <c r="D87" s="38"/>
      <c r="E87" s="66"/>
      <c r="F87" s="66"/>
      <c r="G87" s="39"/>
      <c r="H87" s="40"/>
    </row>
    <row r="88" spans="2:9" s="34" customFormat="1">
      <c r="B88" s="36">
        <v>5212556</v>
      </c>
      <c r="C88" s="37" t="e">
        <f>UPPER(VLOOKUP(B88,#REF!,2,FALSE))</f>
        <v>#REF!</v>
      </c>
      <c r="D88" s="38" t="e">
        <f>VLOOKUP(B88,#REF!,3,FALSE)</f>
        <v>#REF!</v>
      </c>
      <c r="E88" s="62">
        <v>1.47</v>
      </c>
      <c r="F88" s="63"/>
      <c r="G88" s="39"/>
      <c r="H88" s="40" t="e">
        <f>VLOOKUP(B88,#REF!,1,FALSE)</f>
        <v>#REF!</v>
      </c>
      <c r="I88" s="34" t="e">
        <f>VLOOKUP(B88,#REF!,1,FALSE)</f>
        <v>#REF!</v>
      </c>
    </row>
    <row r="89" spans="2:9" s="34" customFormat="1">
      <c r="B89" s="36">
        <v>5212557</v>
      </c>
      <c r="C89" s="37" t="e">
        <f>UPPER(VLOOKUP(B89,#REF!,2,FALSE))</f>
        <v>#REF!</v>
      </c>
      <c r="D89" s="38" t="e">
        <f>VLOOKUP(B89,#REF!,3,FALSE)</f>
        <v>#REF!</v>
      </c>
      <c r="E89" s="62">
        <v>1.55</v>
      </c>
      <c r="F89" s="63"/>
      <c r="G89" s="39"/>
      <c r="H89" s="40" t="e">
        <f>VLOOKUP(B89,#REF!,1,FALSE)</f>
        <v>#REF!</v>
      </c>
      <c r="I89" s="34" t="e">
        <f>VLOOKUP(B89,#REF!,1,FALSE)</f>
        <v>#REF!</v>
      </c>
    </row>
    <row r="90" spans="2:9" s="34" customFormat="1">
      <c r="B90" s="36">
        <v>5212558</v>
      </c>
      <c r="C90" s="37" t="e">
        <f>UPPER(VLOOKUP(B90,#REF!,2,FALSE))</f>
        <v>#REF!</v>
      </c>
      <c r="D90" s="38" t="e">
        <f>VLOOKUP(B90,#REF!,3,FALSE)</f>
        <v>#REF!</v>
      </c>
      <c r="E90" s="62">
        <v>1.59</v>
      </c>
      <c r="F90" s="63"/>
      <c r="G90" s="39"/>
      <c r="H90" s="40" t="e">
        <f>VLOOKUP(B90,#REF!,1,FALSE)</f>
        <v>#REF!</v>
      </c>
      <c r="I90" s="34" t="e">
        <f>VLOOKUP(B90,#REF!,1,FALSE)</f>
        <v>#REF!</v>
      </c>
    </row>
    <row r="91" spans="2:9" s="34" customFormat="1">
      <c r="B91" s="36">
        <v>5212560</v>
      </c>
      <c r="C91" s="37" t="e">
        <f>UPPER(VLOOKUP(B91,#REF!,2,FALSE))</f>
        <v>#REF!</v>
      </c>
      <c r="D91" s="38" t="e">
        <f>VLOOKUP(B91,#REF!,3,FALSE)</f>
        <v>#REF!</v>
      </c>
      <c r="E91" s="62">
        <v>1.76</v>
      </c>
      <c r="F91" s="63"/>
      <c r="G91" s="39"/>
      <c r="H91" s="40" t="e">
        <f>VLOOKUP(B91,#REF!,1,FALSE)</f>
        <v>#REF!</v>
      </c>
      <c r="I91" s="34" t="e">
        <f>VLOOKUP(B91,#REF!,1,FALSE)</f>
        <v>#REF!</v>
      </c>
    </row>
    <row r="92" spans="2:9" s="34" customFormat="1">
      <c r="B92" s="36">
        <v>5213383</v>
      </c>
      <c r="C92" s="37" t="e">
        <f>UPPER(VLOOKUP(B92,#REF!,2,FALSE))</f>
        <v>#REF!</v>
      </c>
      <c r="D92" s="38" t="e">
        <f>VLOOKUP(B92,#REF!,3,FALSE)</f>
        <v>#REF!</v>
      </c>
      <c r="E92" s="62">
        <v>0.82</v>
      </c>
      <c r="F92" s="63"/>
      <c r="G92" s="39"/>
      <c r="H92" s="40" t="e">
        <f>VLOOKUP(B92,#REF!,1,FALSE)</f>
        <v>#REF!</v>
      </c>
      <c r="I92" s="34" t="e">
        <f>VLOOKUP(B92,#REF!,1,FALSE)</f>
        <v>#REF!</v>
      </c>
    </row>
    <row r="93" spans="2:9" s="34" customFormat="1">
      <c r="B93" s="36">
        <v>5213835</v>
      </c>
      <c r="C93" s="37" t="e">
        <f>UPPER(VLOOKUP(B93,#REF!,2,FALSE))</f>
        <v>#REF!</v>
      </c>
      <c r="D93" s="38" t="e">
        <f>VLOOKUP(B93,#REF!,3,FALSE)</f>
        <v>#REF!</v>
      </c>
      <c r="E93" s="62">
        <v>0.84</v>
      </c>
      <c r="F93" s="63"/>
      <c r="G93" s="39"/>
      <c r="H93" s="40" t="e">
        <f>VLOOKUP(B93,#REF!,1,FALSE)</f>
        <v>#REF!</v>
      </c>
      <c r="I93" s="34" t="e">
        <f>VLOOKUP(B93,#REF!,1,FALSE)</f>
        <v>#REF!</v>
      </c>
    </row>
    <row r="94" spans="2:9" s="34" customFormat="1">
      <c r="B94" s="36">
        <v>5213838</v>
      </c>
      <c r="C94" s="37" t="e">
        <f>UPPER(VLOOKUP(B94,#REF!,2,FALSE))</f>
        <v>#REF!</v>
      </c>
      <c r="D94" s="38" t="e">
        <f>VLOOKUP(B94,#REF!,3,FALSE)</f>
        <v>#REF!</v>
      </c>
      <c r="E94" s="62">
        <v>6.47</v>
      </c>
      <c r="F94" s="63"/>
      <c r="G94" s="39"/>
      <c r="H94" s="40" t="e">
        <f>VLOOKUP(B94,#REF!,1,FALSE)</f>
        <v>#REF!</v>
      </c>
      <c r="I94" s="34" t="e">
        <f>VLOOKUP(B94,#REF!,1,FALSE)</f>
        <v>#REF!</v>
      </c>
    </row>
    <row r="95" spans="2:9" s="34" customFormat="1">
      <c r="B95" s="36">
        <v>5213850</v>
      </c>
      <c r="C95" s="37" t="e">
        <f>UPPER(VLOOKUP(B95,#REF!,2,FALSE))</f>
        <v>#REF!</v>
      </c>
      <c r="D95" s="38" t="e">
        <f>VLOOKUP(B95,#REF!,3,FALSE)</f>
        <v>#REF!</v>
      </c>
      <c r="E95" s="62">
        <v>33.58</v>
      </c>
      <c r="F95" s="63"/>
      <c r="G95" s="39"/>
      <c r="H95" s="40" t="e">
        <f>VLOOKUP(B95,#REF!,1,FALSE)</f>
        <v>#REF!</v>
      </c>
      <c r="I95" s="34" t="e">
        <f>VLOOKUP(B95,#REF!,1,FALSE)</f>
        <v>#REF!</v>
      </c>
    </row>
    <row r="96" spans="2:9" s="12" customFormat="1">
      <c r="B96" s="38"/>
      <c r="C96" s="37"/>
      <c r="D96" s="38"/>
      <c r="E96" s="66"/>
      <c r="F96" s="66"/>
      <c r="G96" s="9"/>
      <c r="H96" s="13"/>
    </row>
    <row r="97" spans="2:9" s="12" customFormat="1" ht="19.5">
      <c r="B97" s="71" t="s">
        <v>86</v>
      </c>
      <c r="C97" s="44"/>
      <c r="D97" s="42"/>
      <c r="E97" s="68"/>
      <c r="F97" s="68"/>
      <c r="G97" s="9"/>
      <c r="H97" s="13"/>
    </row>
    <row r="98" spans="2:9" s="12" customFormat="1">
      <c r="B98" s="38">
        <v>903810</v>
      </c>
      <c r="C98" s="37" t="e">
        <f>UPPER(VLOOKUP(B98,#REF!,2,FALSE))</f>
        <v>#REF!</v>
      </c>
      <c r="D98" s="38" t="e">
        <f>VLOOKUP(B98,#REF!,3,FALSE)</f>
        <v>#REF!</v>
      </c>
      <c r="E98" s="62">
        <v>207254.72</v>
      </c>
      <c r="F98" s="63"/>
      <c r="G98" s="9"/>
      <c r="H98" s="13" t="e">
        <f>VLOOKUP(B98,#REF!,1,FALSE)</f>
        <v>#REF!</v>
      </c>
      <c r="I98" s="12" t="e">
        <f>VLOOKUP(B98,#REF!,1,FALSE)</f>
        <v>#REF!</v>
      </c>
    </row>
    <row r="99" spans="2:9" s="34" customFormat="1">
      <c r="B99" s="42"/>
      <c r="C99" s="44"/>
      <c r="D99" s="42"/>
      <c r="E99" s="65"/>
      <c r="F99" s="65"/>
      <c r="G99" s="39"/>
      <c r="H99" s="40"/>
    </row>
    <row r="100" spans="2:9" s="34" customFormat="1" ht="19.5">
      <c r="B100" s="71" t="s">
        <v>89</v>
      </c>
      <c r="C100" s="37"/>
      <c r="D100" s="38"/>
      <c r="E100" s="66"/>
      <c r="F100" s="66"/>
      <c r="G100" s="39"/>
      <c r="H100" s="40"/>
    </row>
    <row r="101" spans="2:9" s="34" customFormat="1">
      <c r="B101" s="38" t="s">
        <v>90</v>
      </c>
      <c r="C101" s="37" t="s">
        <v>91</v>
      </c>
      <c r="D101" s="38" t="s">
        <v>7</v>
      </c>
      <c r="E101" s="62">
        <v>256.58</v>
      </c>
      <c r="F101" s="63"/>
      <c r="G101" s="39"/>
      <c r="H101" s="40" t="e">
        <f>VLOOKUP(B101,#REF!,1,FALSE)</f>
        <v>#REF!</v>
      </c>
      <c r="I101" s="34" t="e">
        <f>VLOOKUP(B101,#REF!,1,FALSE)</f>
        <v>#REF!</v>
      </c>
    </row>
    <row r="102" spans="2:9" s="34" customFormat="1">
      <c r="B102" s="36" t="s">
        <v>93</v>
      </c>
      <c r="C102" s="37" t="s">
        <v>95</v>
      </c>
      <c r="D102" s="38" t="s">
        <v>10</v>
      </c>
      <c r="E102" s="62">
        <v>0.93</v>
      </c>
      <c r="F102" s="63"/>
      <c r="G102" s="39"/>
      <c r="H102" s="40" t="e">
        <f>VLOOKUP(B102,#REF!,1,FALSE)</f>
        <v>#REF!</v>
      </c>
      <c r="I102" s="34" t="e">
        <f>VLOOKUP(B102,#REF!,1,FALSE)</f>
        <v>#REF!</v>
      </c>
    </row>
    <row r="103" spans="2:9" s="34" customFormat="1">
      <c r="B103" s="36" t="s">
        <v>94</v>
      </c>
      <c r="C103" s="37" t="s">
        <v>96</v>
      </c>
      <c r="D103" s="38" t="s">
        <v>10</v>
      </c>
      <c r="E103" s="62">
        <v>0.84</v>
      </c>
      <c r="F103" s="63"/>
      <c r="G103" s="39"/>
      <c r="H103" s="40" t="e">
        <f>VLOOKUP(B103,#REF!,1,FALSE)</f>
        <v>#REF!</v>
      </c>
      <c r="I103" s="34" t="e">
        <f>VLOOKUP(B103,#REF!,1,FALSE)</f>
        <v>#REF!</v>
      </c>
    </row>
    <row r="104" spans="2:9">
      <c r="E104" s="67"/>
      <c r="F104" s="67"/>
      <c r="H104" s="6"/>
    </row>
    <row r="105" spans="2:9" s="12" customFormat="1" ht="19.5">
      <c r="B105" s="71" t="s">
        <v>87</v>
      </c>
      <c r="C105" s="44"/>
      <c r="D105" s="42"/>
      <c r="E105" s="68"/>
      <c r="F105" s="68"/>
      <c r="G105" s="9"/>
      <c r="H105" s="13"/>
    </row>
    <row r="106" spans="2:9" s="12" customFormat="1">
      <c r="B106" s="38" t="s">
        <v>13</v>
      </c>
      <c r="C106" s="37" t="s">
        <v>12</v>
      </c>
      <c r="D106" s="38" t="s">
        <v>8</v>
      </c>
      <c r="E106" s="66" t="e">
        <f>#REF!</f>
        <v>#REF!</v>
      </c>
      <c r="F106" s="66" t="e">
        <f>#REF!</f>
        <v>#REF!</v>
      </c>
      <c r="G106" s="9"/>
      <c r="H106" s="13" t="e">
        <f>VLOOKUP(B106,#REF!,1,FALSE)</f>
        <v>#REF!</v>
      </c>
      <c r="I106" s="12" t="e">
        <f>VLOOKUP(B106,#REF!,1,FALSE)</f>
        <v>#REF!</v>
      </c>
    </row>
    <row r="107" spans="2:9" s="12" customFormat="1">
      <c r="B107" s="38" t="s">
        <v>14</v>
      </c>
      <c r="C107" s="37" t="s">
        <v>50</v>
      </c>
      <c r="D107" s="38" t="s">
        <v>11</v>
      </c>
      <c r="E107" s="66" t="e">
        <f>#REF!</f>
        <v>#REF!</v>
      </c>
      <c r="F107" s="66" t="e">
        <f>#REF!</f>
        <v>#REF!</v>
      </c>
      <c r="G107" s="9"/>
      <c r="H107" s="13" t="e">
        <f>VLOOKUP(B107,#REF!,1,FALSE)</f>
        <v>#REF!</v>
      </c>
      <c r="I107" s="12" t="e">
        <f>VLOOKUP(B107,#REF!,1,FALSE)</f>
        <v>#REF!</v>
      </c>
    </row>
    <row r="108" spans="2:9" s="12" customFormat="1">
      <c r="B108" s="38" t="s">
        <v>52</v>
      </c>
      <c r="C108" s="37" t="s">
        <v>53</v>
      </c>
      <c r="D108" s="38" t="s">
        <v>11</v>
      </c>
      <c r="E108" s="66" t="e">
        <f>#REF!</f>
        <v>#REF!</v>
      </c>
      <c r="F108" s="66" t="e">
        <f>#REF!</f>
        <v>#REF!</v>
      </c>
      <c r="G108" s="9"/>
      <c r="H108" s="13" t="e">
        <f>VLOOKUP(B108,#REF!,1,FALSE)</f>
        <v>#REF!</v>
      </c>
      <c r="I108" s="12" t="e">
        <f>VLOOKUP(B108,#REF!,1,FALSE)</f>
        <v>#REF!</v>
      </c>
    </row>
    <row r="109" spans="2:9" s="12" customFormat="1">
      <c r="B109" s="38" t="s">
        <v>15</v>
      </c>
      <c r="C109" s="37" t="s">
        <v>59</v>
      </c>
      <c r="D109" s="38" t="s">
        <v>11</v>
      </c>
      <c r="E109" s="66" t="e">
        <f>#REF!</f>
        <v>#REF!</v>
      </c>
      <c r="F109" s="66" t="e">
        <f>#REF!</f>
        <v>#REF!</v>
      </c>
      <c r="G109" s="9"/>
      <c r="H109" s="13" t="e">
        <f>VLOOKUP(B109,#REF!,1,FALSE)</f>
        <v>#REF!</v>
      </c>
      <c r="I109" s="12" t="e">
        <f>VLOOKUP(B109,#REF!,1,FALSE)</f>
        <v>#REF!</v>
      </c>
    </row>
    <row r="110" spans="2:9" s="12" customFormat="1">
      <c r="B110" s="38" t="s">
        <v>51</v>
      </c>
      <c r="C110" s="37" t="s">
        <v>60</v>
      </c>
      <c r="D110" s="38" t="s">
        <v>11</v>
      </c>
      <c r="E110" s="66" t="e">
        <f>E109</f>
        <v>#REF!</v>
      </c>
      <c r="F110" s="66" t="e">
        <f>F109</f>
        <v>#REF!</v>
      </c>
      <c r="G110" s="9"/>
      <c r="H110" s="13" t="e">
        <f>VLOOKUP(B110,#REF!,1,FALSE)</f>
        <v>#REF!</v>
      </c>
      <c r="I110" s="12" t="e">
        <f>VLOOKUP(B110,#REF!,1,FALSE)</f>
        <v>#REF!</v>
      </c>
    </row>
    <row r="111" spans="2:9" s="12" customFormat="1">
      <c r="B111" s="38" t="s">
        <v>71</v>
      </c>
      <c r="C111" s="37" t="s">
        <v>79</v>
      </c>
      <c r="D111" s="38" t="s">
        <v>8</v>
      </c>
      <c r="E111" s="66" t="e">
        <f>#REF!</f>
        <v>#REF!</v>
      </c>
      <c r="F111" s="66" t="e">
        <f>#REF!</f>
        <v>#REF!</v>
      </c>
      <c r="G111" s="9"/>
      <c r="H111" s="13" t="e">
        <f>VLOOKUP(B111,#REF!,1,FALSE)</f>
        <v>#REF!</v>
      </c>
      <c r="I111" s="12" t="e">
        <f>VLOOKUP(B111,#REF!,1,FALSE)</f>
        <v>#REF!</v>
      </c>
    </row>
    <row r="112" spans="2:9" s="12" customFormat="1">
      <c r="B112" s="42"/>
      <c r="C112" s="44"/>
      <c r="D112" s="42"/>
      <c r="E112" s="66"/>
      <c r="F112" s="66"/>
      <c r="G112" s="9"/>
      <c r="H112" s="13"/>
    </row>
    <row r="113" spans="2:9" s="34" customFormat="1" ht="19.5">
      <c r="B113" s="71" t="s">
        <v>85</v>
      </c>
      <c r="C113" s="37"/>
      <c r="D113" s="38"/>
      <c r="E113" s="66"/>
      <c r="F113" s="66"/>
      <c r="G113" s="39"/>
      <c r="H113" s="40"/>
    </row>
    <row r="114" spans="2:9" s="34" customFormat="1">
      <c r="B114" s="38" t="s">
        <v>18</v>
      </c>
      <c r="C114" s="37" t="s">
        <v>61</v>
      </c>
      <c r="D114" s="38" t="s">
        <v>28</v>
      </c>
      <c r="E114" s="66" t="e">
        <f>VLOOKUP(B114,#REF!,2,FALSE)</f>
        <v>#REF!</v>
      </c>
      <c r="F114" s="66" t="e">
        <f>TRUNC(E114/1.15*1.1995,2)</f>
        <v>#REF!</v>
      </c>
      <c r="G114" s="39"/>
      <c r="H114" s="40" t="e">
        <f>VLOOKUP(B114,#REF!,1,FALSE)</f>
        <v>#REF!</v>
      </c>
      <c r="I114" s="34" t="e">
        <f>VLOOKUP(B114,#REF!,1,FALSE)</f>
        <v>#REF!</v>
      </c>
    </row>
    <row r="115" spans="2:9" s="34" customFormat="1">
      <c r="B115" s="38" t="s">
        <v>72</v>
      </c>
      <c r="C115" s="37" t="s">
        <v>74</v>
      </c>
      <c r="D115" s="38" t="s">
        <v>28</v>
      </c>
      <c r="E115" s="66" t="e">
        <f>VLOOKUP(B115,#REF!,2,FALSE)</f>
        <v>#REF!</v>
      </c>
      <c r="F115" s="66" t="e">
        <f t="shared" ref="F115:F123" si="0">TRUNC(E115/1.15*1.1995,2)</f>
        <v>#REF!</v>
      </c>
      <c r="G115" s="39"/>
      <c r="H115" s="40" t="e">
        <f>VLOOKUP(B115,#REF!,1,FALSE)</f>
        <v>#REF!</v>
      </c>
      <c r="I115" s="34" t="e">
        <f>VLOOKUP(B115,#REF!,1,FALSE)</f>
        <v>#REF!</v>
      </c>
    </row>
    <row r="116" spans="2:9" s="34" customFormat="1">
      <c r="B116" s="38" t="s">
        <v>24</v>
      </c>
      <c r="C116" s="37" t="s">
        <v>57</v>
      </c>
      <c r="D116" s="38" t="s">
        <v>28</v>
      </c>
      <c r="E116" s="66" t="e">
        <f>VLOOKUP(B116,#REF!,2,FALSE)</f>
        <v>#REF!</v>
      </c>
      <c r="F116" s="66" t="e">
        <f t="shared" si="0"/>
        <v>#REF!</v>
      </c>
      <c r="G116" s="39"/>
      <c r="H116" s="40" t="e">
        <f>VLOOKUP(B116,#REF!,1,FALSE)</f>
        <v>#REF!</v>
      </c>
      <c r="I116" s="34" t="e">
        <f>VLOOKUP(B116,#REF!,1,FALSE)</f>
        <v>#REF!</v>
      </c>
    </row>
    <row r="117" spans="2:9" s="34" customFormat="1">
      <c r="B117" s="38" t="s">
        <v>20</v>
      </c>
      <c r="C117" s="37" t="s">
        <v>22</v>
      </c>
      <c r="D117" s="38" t="s">
        <v>28</v>
      </c>
      <c r="E117" s="66" t="e">
        <f>VLOOKUP(B117,#REF!,2,FALSE)</f>
        <v>#REF!</v>
      </c>
      <c r="F117" s="66" t="e">
        <f t="shared" si="0"/>
        <v>#REF!</v>
      </c>
      <c r="G117" s="39"/>
      <c r="H117" s="40" t="e">
        <f>VLOOKUP(B117,#REF!,1,FALSE)</f>
        <v>#REF!</v>
      </c>
      <c r="I117" s="34" t="e">
        <f>VLOOKUP(B117,#REF!,1,FALSE)</f>
        <v>#REF!</v>
      </c>
    </row>
    <row r="118" spans="2:9" s="34" customFormat="1">
      <c r="B118" s="38" t="s">
        <v>45</v>
      </c>
      <c r="C118" s="37" t="s">
        <v>47</v>
      </c>
      <c r="D118" s="38" t="s">
        <v>28</v>
      </c>
      <c r="E118" s="66" t="e">
        <f>VLOOKUP(B118,#REF!,2,FALSE)</f>
        <v>#REF!</v>
      </c>
      <c r="F118" s="66" t="e">
        <f t="shared" si="0"/>
        <v>#REF!</v>
      </c>
      <c r="G118" s="39"/>
      <c r="H118" s="40" t="e">
        <f>VLOOKUP(B118,#REF!,1,FALSE)</f>
        <v>#REF!</v>
      </c>
      <c r="I118" s="34" t="e">
        <f>VLOOKUP(B118,#REF!,1,FALSE)</f>
        <v>#REF!</v>
      </c>
    </row>
    <row r="119" spans="2:9" s="34" customFormat="1">
      <c r="B119" s="38" t="s">
        <v>19</v>
      </c>
      <c r="C119" s="37" t="s">
        <v>62</v>
      </c>
      <c r="D119" s="38" t="s">
        <v>28</v>
      </c>
      <c r="E119" s="66" t="e">
        <f>VLOOKUP(B119,#REF!,2,FALSE)</f>
        <v>#REF!</v>
      </c>
      <c r="F119" s="66" t="e">
        <f t="shared" si="0"/>
        <v>#REF!</v>
      </c>
      <c r="G119" s="39"/>
      <c r="H119" s="40" t="e">
        <f>VLOOKUP(B119,#REF!,1,FALSE)</f>
        <v>#REF!</v>
      </c>
      <c r="I119" s="34" t="e">
        <f>VLOOKUP(B119,#REF!,1,FALSE)</f>
        <v>#REF!</v>
      </c>
    </row>
    <row r="120" spans="2:9" s="34" customFormat="1">
      <c r="B120" s="38" t="s">
        <v>73</v>
      </c>
      <c r="C120" s="37" t="s">
        <v>75</v>
      </c>
      <c r="D120" s="38" t="s">
        <v>28</v>
      </c>
      <c r="E120" s="66" t="e">
        <f>VLOOKUP(B120,#REF!,2,FALSE)</f>
        <v>#REF!</v>
      </c>
      <c r="F120" s="66" t="e">
        <f t="shared" si="0"/>
        <v>#REF!</v>
      </c>
      <c r="G120" s="39"/>
      <c r="H120" s="40" t="e">
        <f>VLOOKUP(B120,#REF!,1,FALSE)</f>
        <v>#REF!</v>
      </c>
      <c r="I120" s="34" t="e">
        <f>VLOOKUP(B120,#REF!,1,FALSE)</f>
        <v>#REF!</v>
      </c>
    </row>
    <row r="121" spans="2:9" s="34" customFormat="1">
      <c r="B121" s="38" t="s">
        <v>25</v>
      </c>
      <c r="C121" s="37" t="s">
        <v>58</v>
      </c>
      <c r="D121" s="38" t="s">
        <v>28</v>
      </c>
      <c r="E121" s="66" t="e">
        <f>VLOOKUP(B121,#REF!,2,FALSE)</f>
        <v>#REF!</v>
      </c>
      <c r="F121" s="66" t="e">
        <f t="shared" si="0"/>
        <v>#REF!</v>
      </c>
      <c r="G121" s="39"/>
      <c r="H121" s="40" t="e">
        <f>VLOOKUP(B121,#REF!,1,FALSE)</f>
        <v>#REF!</v>
      </c>
      <c r="I121" s="34" t="e">
        <f>VLOOKUP(B121,#REF!,1,FALSE)</f>
        <v>#REF!</v>
      </c>
    </row>
    <row r="122" spans="2:9" s="12" customFormat="1">
      <c r="B122" s="38" t="s">
        <v>21</v>
      </c>
      <c r="C122" s="37" t="s">
        <v>23</v>
      </c>
      <c r="D122" s="38" t="s">
        <v>28</v>
      </c>
      <c r="E122" s="66" t="e">
        <f>VLOOKUP(B122,#REF!,2,FALSE)</f>
        <v>#REF!</v>
      </c>
      <c r="F122" s="66" t="e">
        <f t="shared" si="0"/>
        <v>#REF!</v>
      </c>
      <c r="G122" s="9"/>
      <c r="H122" s="13" t="e">
        <f>VLOOKUP(B122,#REF!,1,FALSE)</f>
        <v>#REF!</v>
      </c>
      <c r="I122" s="12" t="e">
        <f>VLOOKUP(B122,#REF!,1,FALSE)</f>
        <v>#REF!</v>
      </c>
    </row>
    <row r="123" spans="2:9" s="12" customFormat="1">
      <c r="B123" s="38" t="s">
        <v>46</v>
      </c>
      <c r="C123" s="37" t="s">
        <v>48</v>
      </c>
      <c r="D123" s="38" t="s">
        <v>28</v>
      </c>
      <c r="E123" s="66" t="e">
        <f>VLOOKUP(B123,#REF!,2,FALSE)</f>
        <v>#REF!</v>
      </c>
      <c r="F123" s="66" t="e">
        <f t="shared" si="0"/>
        <v>#REF!</v>
      </c>
      <c r="G123" s="9"/>
      <c r="H123" s="13" t="e">
        <f>VLOOKUP(B123,#REF!,1,FALSE)</f>
        <v>#REF!</v>
      </c>
      <c r="I123" s="12" t="e">
        <f>VLOOKUP(B123,#REF!,1,FALSE)</f>
        <v>#REF!</v>
      </c>
    </row>
    <row r="124" spans="2:9">
      <c r="E124" s="67"/>
      <c r="F124" s="67"/>
      <c r="H124" s="6"/>
    </row>
    <row r="125" spans="2:9">
      <c r="E125" s="67"/>
      <c r="F125" s="67"/>
      <c r="H125" s="6"/>
    </row>
    <row r="126" spans="2:9">
      <c r="E126" s="67"/>
      <c r="F126" s="67"/>
      <c r="H126" s="6"/>
    </row>
    <row r="127" spans="2:9">
      <c r="E127" s="67"/>
      <c r="F127" s="67"/>
      <c r="H127" s="6"/>
    </row>
    <row r="128" spans="2:9">
      <c r="E128" s="67"/>
      <c r="F128" s="67"/>
      <c r="H128" s="6"/>
    </row>
    <row r="129" spans="5:8">
      <c r="E129" s="67"/>
      <c r="F129" s="67"/>
      <c r="H129" s="6"/>
    </row>
    <row r="130" spans="5:8">
      <c r="H130" s="6"/>
    </row>
    <row r="131" spans="5:8">
      <c r="H131" s="6"/>
    </row>
    <row r="132" spans="5:8">
      <c r="H132" s="6"/>
    </row>
    <row r="133" spans="5:8">
      <c r="H133" s="6"/>
    </row>
    <row r="134" spans="5:8">
      <c r="H134" s="6"/>
    </row>
    <row r="135" spans="5:8">
      <c r="H135" s="6"/>
    </row>
    <row r="136" spans="5:8">
      <c r="H136" s="6"/>
    </row>
    <row r="137" spans="5:8">
      <c r="H137" s="6"/>
    </row>
  </sheetData>
  <sortState ref="B3:J96">
    <sortCondition ref="B96"/>
  </sortState>
  <printOptions horizontalCentered="1"/>
  <pageMargins left="0" right="0" top="0" bottom="0" header="0" footer="0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H38"/>
  <sheetViews>
    <sheetView tabSelected="1" zoomScale="145" zoomScaleNormal="145" zoomScaleSheetLayoutView="130" workbookViewId="0">
      <selection activeCell="D15" sqref="D15"/>
    </sheetView>
  </sheetViews>
  <sheetFormatPr defaultRowHeight="12.75"/>
  <cols>
    <col min="1" max="1" width="1.85546875" style="4" customWidth="1"/>
    <col min="2" max="2" width="17.5703125" style="73" bestFit="1" customWidth="1"/>
    <col min="3" max="3" width="14.28515625" style="75" bestFit="1" customWidth="1"/>
    <col min="4" max="4" width="15.42578125" style="75" bestFit="1" customWidth="1"/>
    <col min="5" max="5" width="16.28515625" style="80" bestFit="1" customWidth="1"/>
    <col min="6" max="6" width="14.42578125" style="80" customWidth="1"/>
    <col min="7" max="7" width="18.5703125" style="75" bestFit="1" customWidth="1"/>
    <col min="8" max="8" width="22.5703125" style="4" bestFit="1" customWidth="1"/>
    <col min="9" max="9" width="3" style="4" customWidth="1"/>
    <col min="10" max="10" width="19.140625" style="4" customWidth="1"/>
    <col min="11" max="16384" width="9.140625" style="4"/>
  </cols>
  <sheetData>
    <row r="2" spans="2:8" ht="15.75" thickBot="1">
      <c r="B2" s="74"/>
      <c r="C2" s="84"/>
      <c r="D2" s="84"/>
      <c r="E2" s="85"/>
      <c r="F2" s="85"/>
      <c r="G2" s="69"/>
    </row>
    <row r="3" spans="2:8" ht="20.100000000000001" customHeight="1" thickTop="1">
      <c r="B3" s="137" t="s">
        <v>110</v>
      </c>
      <c r="C3" s="138"/>
      <c r="D3" s="138"/>
      <c r="E3" s="138"/>
      <c r="F3" s="138"/>
      <c r="G3" s="138"/>
      <c r="H3" s="139"/>
    </row>
    <row r="4" spans="2:8" ht="20.100000000000001" customHeight="1">
      <c r="B4" s="140" t="s">
        <v>78</v>
      </c>
      <c r="C4" s="132" t="s">
        <v>70</v>
      </c>
      <c r="D4" s="132" t="s">
        <v>83</v>
      </c>
      <c r="E4" s="132" t="s">
        <v>117</v>
      </c>
      <c r="F4" s="132" t="s">
        <v>9</v>
      </c>
      <c r="G4" s="142" t="s">
        <v>100</v>
      </c>
      <c r="H4" s="143"/>
    </row>
    <row r="5" spans="2:8" ht="20.100000000000001" customHeight="1">
      <c r="B5" s="141"/>
      <c r="C5" s="133"/>
      <c r="D5" s="133"/>
      <c r="E5" s="133"/>
      <c r="F5" s="133"/>
      <c r="G5" s="83" t="s">
        <v>109</v>
      </c>
      <c r="H5" s="77" t="s">
        <v>108</v>
      </c>
    </row>
    <row r="6" spans="2:8" ht="20.100000000000001" customHeight="1">
      <c r="B6" s="134"/>
      <c r="C6" s="135"/>
      <c r="D6" s="135"/>
      <c r="E6" s="135"/>
      <c r="F6" s="135"/>
      <c r="G6" s="135"/>
      <c r="H6" s="136"/>
    </row>
    <row r="7" spans="2:8" ht="20.100000000000001" customHeight="1">
      <c r="B7" s="89" t="s">
        <v>29</v>
      </c>
      <c r="C7" s="185"/>
      <c r="D7" s="186"/>
      <c r="E7" s="72">
        <f>D7-C7</f>
        <v>0</v>
      </c>
      <c r="F7" s="88" t="e">
        <f>E7/SUM($E$7:$E$8)</f>
        <v>#DIV/0!</v>
      </c>
      <c r="G7" s="188"/>
      <c r="H7" s="189"/>
    </row>
    <row r="8" spans="2:8" ht="20.100000000000001" customHeight="1">
      <c r="B8" s="89" t="s">
        <v>30</v>
      </c>
      <c r="C8" s="187">
        <f>D7</f>
        <v>0</v>
      </c>
      <c r="D8" s="186"/>
      <c r="E8" s="130">
        <f>D8-C8</f>
        <v>0</v>
      </c>
      <c r="F8" s="88" t="e">
        <f>E8/SUM($E$7:$E$8)</f>
        <v>#DIV/0!</v>
      </c>
      <c r="G8" s="188"/>
      <c r="H8" s="189"/>
    </row>
    <row r="9" spans="2:8" ht="20.100000000000001" customHeight="1" thickBot="1">
      <c r="B9" s="90"/>
      <c r="C9" s="87"/>
      <c r="D9" s="87"/>
      <c r="E9" s="86"/>
      <c r="F9" s="86"/>
      <c r="G9" s="78"/>
      <c r="H9" s="79"/>
    </row>
    <row r="10" spans="2:8" ht="13.5" customHeight="1" thickTop="1"/>
    <row r="11" spans="2:8" ht="20.100000000000001" customHeight="1"/>
    <row r="12" spans="2:8" ht="20.100000000000001" customHeight="1"/>
    <row r="13" spans="2:8" ht="20.100000000000001" customHeight="1"/>
    <row r="14" spans="2:8" ht="20.100000000000001" customHeight="1"/>
    <row r="15" spans="2:8" ht="20.100000000000001" customHeight="1"/>
    <row r="16" spans="2:8" ht="20.100000000000001" customHeight="1"/>
    <row r="17" spans="2:7" ht="20.100000000000001" customHeight="1">
      <c r="B17" s="131"/>
      <c r="C17" s="131"/>
      <c r="D17" s="46"/>
      <c r="E17" s="35"/>
      <c r="F17" s="35"/>
      <c r="G17" s="46"/>
    </row>
    <row r="18" spans="2:7" ht="20.100000000000001" customHeight="1">
      <c r="B18" s="131"/>
      <c r="C18" s="131"/>
      <c r="D18" s="46"/>
      <c r="E18" s="81"/>
      <c r="F18" s="81"/>
      <c r="G18" s="82"/>
    </row>
    <row r="19" spans="2:7" ht="20.100000000000001" customHeight="1">
      <c r="B19" s="131"/>
      <c r="C19" s="131"/>
      <c r="D19" s="46"/>
      <c r="E19" s="82"/>
      <c r="F19" s="82"/>
      <c r="G19" s="82"/>
    </row>
    <row r="20" spans="2:7" ht="20.100000000000001" customHeight="1">
      <c r="B20" s="131"/>
      <c r="C20" s="131"/>
      <c r="D20" s="46"/>
      <c r="E20" s="82"/>
      <c r="F20" s="82"/>
      <c r="G20" s="82"/>
    </row>
    <row r="21" spans="2:7" ht="20.100000000000001" customHeight="1">
      <c r="B21" s="131"/>
      <c r="C21" s="131"/>
      <c r="D21" s="46"/>
      <c r="E21" s="82"/>
      <c r="F21" s="82"/>
      <c r="G21" s="82"/>
    </row>
    <row r="22" spans="2:7" ht="20.100000000000001" customHeight="1"/>
    <row r="23" spans="2:7" ht="20.100000000000001" customHeight="1"/>
    <row r="24" spans="2:7" ht="20.100000000000001" customHeight="1"/>
    <row r="25" spans="2:7" ht="20.100000000000001" customHeight="1"/>
    <row r="26" spans="2:7" ht="20.100000000000001" customHeight="1"/>
    <row r="27" spans="2:7" ht="20.100000000000001" customHeight="1"/>
    <row r="28" spans="2:7" ht="20.100000000000001" customHeight="1"/>
    <row r="29" spans="2:7" ht="20.100000000000001" customHeight="1"/>
    <row r="30" spans="2:7" ht="20.100000000000001" customHeight="1"/>
    <row r="31" spans="2:7" ht="20.100000000000001" customHeight="1"/>
    <row r="32" spans="2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</sheetData>
  <mergeCells count="13">
    <mergeCell ref="B3:H3"/>
    <mergeCell ref="B4:B5"/>
    <mergeCell ref="G4:H4"/>
    <mergeCell ref="B17:C17"/>
    <mergeCell ref="B18:C18"/>
    <mergeCell ref="E4:E5"/>
    <mergeCell ref="F4:F5"/>
    <mergeCell ref="B19:C19"/>
    <mergeCell ref="B20:C20"/>
    <mergeCell ref="B21:C21"/>
    <mergeCell ref="C4:C5"/>
    <mergeCell ref="D4:D5"/>
    <mergeCell ref="B6:H6"/>
  </mergeCells>
  <pageMargins left="0.511811024" right="0.511811024" top="0.78740157499999996" bottom="0.78740157499999996" header="0.31496062000000002" footer="0.31496062000000002"/>
  <pageSetup paperSize="9" scale="7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C2:V50"/>
  <sheetViews>
    <sheetView view="pageBreakPreview" zoomScale="70" zoomScaleNormal="100" zoomScaleSheetLayoutView="70" workbookViewId="0">
      <selection activeCell="Q7" sqref="Q7:Q20"/>
    </sheetView>
  </sheetViews>
  <sheetFormatPr defaultRowHeight="12.75"/>
  <cols>
    <col min="1" max="1" width="2.28515625" style="4" customWidth="1"/>
    <col min="2" max="2" width="1.85546875" style="4" customWidth="1"/>
    <col min="3" max="3" width="33" style="73" bestFit="1" customWidth="1"/>
    <col min="4" max="4" width="21.42578125" style="75" bestFit="1" customWidth="1"/>
    <col min="5" max="5" width="21.42578125" style="75" customWidth="1"/>
    <col min="6" max="6" width="15.42578125" style="80" bestFit="1" customWidth="1"/>
    <col min="7" max="7" width="15.42578125" style="80" customWidth="1"/>
    <col min="8" max="8" width="16.28515625" style="80" customWidth="1"/>
    <col min="9" max="9" width="22.5703125" style="80" bestFit="1" customWidth="1"/>
    <col min="10" max="17" width="16.28515625" style="80" customWidth="1"/>
    <col min="18" max="18" width="52.5703125" style="119" hidden="1" customWidth="1"/>
    <col min="19" max="19" width="22.5703125" style="4" bestFit="1" customWidth="1"/>
    <col min="20" max="20" width="3" style="4" customWidth="1"/>
    <col min="21" max="21" width="19.140625" style="4" customWidth="1"/>
    <col min="22" max="16384" width="9.140625" style="4"/>
  </cols>
  <sheetData>
    <row r="2" spans="3:22" ht="15.75" thickBot="1">
      <c r="C2" s="74"/>
      <c r="D2" s="84"/>
      <c r="E2" s="84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114"/>
    </row>
    <row r="3" spans="3:22" ht="20.100000000000001" customHeight="1" thickTop="1">
      <c r="C3" s="137" t="s">
        <v>116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51"/>
      <c r="S3" s="139"/>
    </row>
    <row r="4" spans="3:22" ht="20.100000000000001" customHeight="1">
      <c r="C4" s="140" t="s">
        <v>55</v>
      </c>
      <c r="D4" s="142" t="s">
        <v>70</v>
      </c>
      <c r="E4" s="142"/>
      <c r="F4" s="142" t="s">
        <v>83</v>
      </c>
      <c r="G4" s="142"/>
      <c r="H4" s="144" t="s">
        <v>111</v>
      </c>
      <c r="I4" s="144" t="s">
        <v>107</v>
      </c>
      <c r="J4" s="152" t="s">
        <v>114</v>
      </c>
      <c r="K4" s="153"/>
      <c r="L4" s="153"/>
      <c r="M4" s="154"/>
      <c r="N4" s="152" t="s">
        <v>115</v>
      </c>
      <c r="O4" s="153"/>
      <c r="P4" s="153"/>
      <c r="Q4" s="154"/>
      <c r="R4" s="115"/>
      <c r="S4" s="146" t="s">
        <v>100</v>
      </c>
    </row>
    <row r="5" spans="3:22" ht="20.100000000000001" customHeight="1">
      <c r="C5" s="141"/>
      <c r="D5" s="76" t="s">
        <v>56</v>
      </c>
      <c r="E5" s="76" t="s">
        <v>17</v>
      </c>
      <c r="F5" s="76" t="s">
        <v>56</v>
      </c>
      <c r="G5" s="76" t="s">
        <v>17</v>
      </c>
      <c r="H5" s="145"/>
      <c r="I5" s="145"/>
      <c r="J5" s="111" t="s">
        <v>117</v>
      </c>
      <c r="K5" s="111" t="s">
        <v>9</v>
      </c>
      <c r="L5" s="111" t="s">
        <v>118</v>
      </c>
      <c r="M5" s="111" t="s">
        <v>119</v>
      </c>
      <c r="N5" s="111" t="s">
        <v>117</v>
      </c>
      <c r="O5" s="111" t="s">
        <v>9</v>
      </c>
      <c r="P5" s="111" t="s">
        <v>118</v>
      </c>
      <c r="Q5" s="111" t="s">
        <v>119</v>
      </c>
      <c r="R5" s="116"/>
      <c r="S5" s="147"/>
    </row>
    <row r="6" spans="3:22" ht="20.100000000000001" customHeight="1">
      <c r="C6" s="134" t="str">
        <f>FIT!$C$6</f>
        <v>CONSERVAÇÃO RODOVIÁRIA</v>
      </c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</row>
    <row r="7" spans="3:22" ht="20.100000000000001" customHeight="1">
      <c r="C7" s="108" t="s">
        <v>68</v>
      </c>
      <c r="D7" s="109" t="s">
        <v>106</v>
      </c>
      <c r="E7" s="190"/>
      <c r="F7" s="109" t="s">
        <v>104</v>
      </c>
      <c r="G7" s="190"/>
      <c r="H7" s="110">
        <f>E7-G7</f>
        <v>0</v>
      </c>
      <c r="I7" s="190"/>
      <c r="J7" s="110">
        <f>VMD!$D$7-VMDf!$G$7</f>
        <v>0</v>
      </c>
      <c r="K7" s="112" t="e">
        <f>J7/H7</f>
        <v>#DIV/0!</v>
      </c>
      <c r="L7" s="150">
        <f>VMD!G7</f>
        <v>0</v>
      </c>
      <c r="M7" s="150">
        <f>VMD!H7</f>
        <v>0</v>
      </c>
      <c r="N7" s="110">
        <f>$E$7-VMD!$C$8</f>
        <v>0</v>
      </c>
      <c r="O7" s="112" t="e">
        <f>N7/H7</f>
        <v>#DIV/0!</v>
      </c>
      <c r="P7" s="150">
        <f>VMD!G8</f>
        <v>0</v>
      </c>
      <c r="Q7" s="150">
        <f>VMD!H8</f>
        <v>0</v>
      </c>
      <c r="R7" s="117" t="str">
        <f t="shared" ref="R7:R18" si="0">C7&amp;D7&amp;F7</f>
        <v>AREIA MÉDIAAREALUSINA</v>
      </c>
      <c r="S7" s="113" t="e">
        <f>ROUND((J7*$M$7+N7*$Q$7)/H7,0)</f>
        <v>#DIV/0!</v>
      </c>
      <c r="V7" s="129">
        <f>E8-H8</f>
        <v>0</v>
      </c>
    </row>
    <row r="8" spans="3:22" ht="20.100000000000001" customHeight="1">
      <c r="C8" s="108" t="s">
        <v>68</v>
      </c>
      <c r="D8" s="109" t="s">
        <v>106</v>
      </c>
      <c r="E8" s="190"/>
      <c r="F8" s="109" t="s">
        <v>80</v>
      </c>
      <c r="G8" s="190"/>
      <c r="H8" s="110">
        <f t="shared" ref="H8:H19" si="1">E8-G8</f>
        <v>0</v>
      </c>
      <c r="I8" s="190"/>
      <c r="J8" s="110">
        <f>VMD!$D$7-VMDf!$G$8</f>
        <v>0</v>
      </c>
      <c r="K8" s="112" t="e">
        <f t="shared" ref="K8:K20" si="2">J8/H8</f>
        <v>#DIV/0!</v>
      </c>
      <c r="L8" s="148"/>
      <c r="M8" s="148"/>
      <c r="N8" s="110">
        <f>$E$8-VMD!$C$8</f>
        <v>0</v>
      </c>
      <c r="O8" s="112" t="e">
        <f t="shared" ref="O8:O20" si="3">N8/H8</f>
        <v>#DIV/0!</v>
      </c>
      <c r="P8" s="148"/>
      <c r="Q8" s="148"/>
      <c r="R8" s="117" t="str">
        <f t="shared" si="0"/>
        <v>AREIA MÉDIAAREALPISTA</v>
      </c>
      <c r="S8" s="113" t="e">
        <f t="shared" ref="S8:S19" si="4">ROUND((J8*$M$7+N8*$Q$7)/H8,0)</f>
        <v>#DIV/0!</v>
      </c>
    </row>
    <row r="9" spans="3:22" ht="20.100000000000001" customHeight="1">
      <c r="C9" s="108" t="s">
        <v>69</v>
      </c>
      <c r="D9" s="109" t="s">
        <v>106</v>
      </c>
      <c r="E9" s="190"/>
      <c r="F9" s="109" t="s">
        <v>80</v>
      </c>
      <c r="G9" s="190"/>
      <c r="H9" s="110">
        <f t="shared" si="1"/>
        <v>0</v>
      </c>
      <c r="I9" s="190"/>
      <c r="J9" s="110">
        <f>VMD!$D$7-VMDf!$G$9</f>
        <v>0</v>
      </c>
      <c r="K9" s="112" t="e">
        <f t="shared" si="2"/>
        <v>#DIV/0!</v>
      </c>
      <c r="L9" s="148"/>
      <c r="M9" s="148"/>
      <c r="N9" s="110">
        <f>$E$9-VMD!$C$8</f>
        <v>0</v>
      </c>
      <c r="O9" s="112" t="e">
        <f t="shared" si="3"/>
        <v>#DIV/0!</v>
      </c>
      <c r="P9" s="148"/>
      <c r="Q9" s="148"/>
      <c r="R9" s="117" t="str">
        <f t="shared" si="0"/>
        <v>AREIA MÉDIA LAVADAAREALPISTA</v>
      </c>
      <c r="S9" s="113" t="e">
        <f t="shared" si="4"/>
        <v>#DIV/0!</v>
      </c>
    </row>
    <row r="10" spans="3:22" ht="20.100000000000001" customHeight="1">
      <c r="C10" s="108" t="s">
        <v>81</v>
      </c>
      <c r="D10" s="109" t="s">
        <v>120</v>
      </c>
      <c r="E10" s="190"/>
      <c r="F10" s="109" t="s">
        <v>80</v>
      </c>
      <c r="G10" s="190"/>
      <c r="H10" s="110">
        <f t="shared" si="1"/>
        <v>0</v>
      </c>
      <c r="I10" s="190"/>
      <c r="J10" s="110">
        <v>0</v>
      </c>
      <c r="K10" s="112" t="e">
        <f t="shared" si="2"/>
        <v>#DIV/0!</v>
      </c>
      <c r="L10" s="148"/>
      <c r="M10" s="148"/>
      <c r="N10" s="110">
        <f>VMD!$D$8-G10</f>
        <v>0</v>
      </c>
      <c r="O10" s="112" t="e">
        <f t="shared" si="3"/>
        <v>#DIV/0!</v>
      </c>
      <c r="P10" s="148"/>
      <c r="Q10" s="148"/>
      <c r="R10" s="117" t="str">
        <f t="shared" si="0"/>
        <v>BRITA 0PEDREIRAPISTA</v>
      </c>
      <c r="S10" s="113" t="e">
        <f t="shared" si="4"/>
        <v>#DIV/0!</v>
      </c>
    </row>
    <row r="11" spans="3:22" ht="20.100000000000001" customHeight="1">
      <c r="C11" s="108" t="s">
        <v>81</v>
      </c>
      <c r="D11" s="109" t="s">
        <v>120</v>
      </c>
      <c r="E11" s="190"/>
      <c r="F11" s="109" t="s">
        <v>104</v>
      </c>
      <c r="G11" s="190"/>
      <c r="H11" s="110">
        <f t="shared" si="1"/>
        <v>0</v>
      </c>
      <c r="I11" s="190"/>
      <c r="J11" s="110">
        <f>VMD!$D$7-VMDf!$G$11</f>
        <v>0</v>
      </c>
      <c r="K11" s="112" t="e">
        <f t="shared" si="2"/>
        <v>#DIV/0!</v>
      </c>
      <c r="L11" s="148"/>
      <c r="M11" s="148"/>
      <c r="N11" s="110">
        <f>VMD!$E$8</f>
        <v>0</v>
      </c>
      <c r="O11" s="112" t="e">
        <f t="shared" si="3"/>
        <v>#DIV/0!</v>
      </c>
      <c r="P11" s="148"/>
      <c r="Q11" s="148"/>
      <c r="R11" s="117" t="str">
        <f t="shared" si="0"/>
        <v>BRITA 0PEDREIRAUSINA</v>
      </c>
      <c r="S11" s="113" t="e">
        <f t="shared" si="4"/>
        <v>#DIV/0!</v>
      </c>
    </row>
    <row r="12" spans="3:22" ht="20.100000000000001" customHeight="1">
      <c r="C12" s="108" t="s">
        <v>54</v>
      </c>
      <c r="D12" s="109" t="s">
        <v>120</v>
      </c>
      <c r="E12" s="190"/>
      <c r="F12" s="109" t="s">
        <v>80</v>
      </c>
      <c r="G12" s="190"/>
      <c r="H12" s="110">
        <f t="shared" si="1"/>
        <v>0</v>
      </c>
      <c r="I12" s="190"/>
      <c r="J12" s="110">
        <v>0</v>
      </c>
      <c r="K12" s="112" t="e">
        <f t="shared" si="2"/>
        <v>#DIV/0!</v>
      </c>
      <c r="L12" s="148"/>
      <c r="M12" s="148"/>
      <c r="N12" s="110">
        <f>VMD!$D$8-G12</f>
        <v>0</v>
      </c>
      <c r="O12" s="112" t="e">
        <f t="shared" si="3"/>
        <v>#DIV/0!</v>
      </c>
      <c r="P12" s="148"/>
      <c r="Q12" s="148"/>
      <c r="R12" s="117" t="str">
        <f t="shared" si="0"/>
        <v>BRITA 1PEDREIRAPISTA</v>
      </c>
      <c r="S12" s="113" t="e">
        <f>ROUND((J12*$M$7+N12*$Q$7)/H12,0)</f>
        <v>#DIV/0!</v>
      </c>
    </row>
    <row r="13" spans="3:22" ht="20.100000000000001" customHeight="1">
      <c r="C13" s="108" t="s">
        <v>54</v>
      </c>
      <c r="D13" s="109" t="s">
        <v>120</v>
      </c>
      <c r="E13" s="190"/>
      <c r="F13" s="109" t="s">
        <v>104</v>
      </c>
      <c r="G13" s="190"/>
      <c r="H13" s="110">
        <f t="shared" si="1"/>
        <v>0</v>
      </c>
      <c r="I13" s="190"/>
      <c r="J13" s="110">
        <f>VMD!$D$7-VMDf!$G$13</f>
        <v>0</v>
      </c>
      <c r="K13" s="112" t="e">
        <f t="shared" si="2"/>
        <v>#DIV/0!</v>
      </c>
      <c r="L13" s="148"/>
      <c r="M13" s="148"/>
      <c r="N13" s="110">
        <f>VMD!$E$8</f>
        <v>0</v>
      </c>
      <c r="O13" s="112" t="e">
        <f t="shared" si="3"/>
        <v>#DIV/0!</v>
      </c>
      <c r="P13" s="148"/>
      <c r="Q13" s="148"/>
      <c r="R13" s="117" t="str">
        <f t="shared" si="0"/>
        <v>BRITA 1PEDREIRAUSINA</v>
      </c>
      <c r="S13" s="113" t="e">
        <f t="shared" si="4"/>
        <v>#DIV/0!</v>
      </c>
    </row>
    <row r="14" spans="3:22" ht="20.100000000000001" customHeight="1">
      <c r="C14" s="108" t="s">
        <v>67</v>
      </c>
      <c r="D14" s="109" t="s">
        <v>120</v>
      </c>
      <c r="E14" s="190"/>
      <c r="F14" s="109" t="s">
        <v>80</v>
      </c>
      <c r="G14" s="190"/>
      <c r="H14" s="110">
        <f t="shared" si="1"/>
        <v>0</v>
      </c>
      <c r="I14" s="190"/>
      <c r="J14" s="110">
        <v>0</v>
      </c>
      <c r="K14" s="112" t="e">
        <f t="shared" si="2"/>
        <v>#DIV/0!</v>
      </c>
      <c r="L14" s="148"/>
      <c r="M14" s="148"/>
      <c r="N14" s="110">
        <f>VMD!$D$8-G14</f>
        <v>0</v>
      </c>
      <c r="O14" s="112" t="e">
        <f t="shared" si="3"/>
        <v>#DIV/0!</v>
      </c>
      <c r="P14" s="148"/>
      <c r="Q14" s="148"/>
      <c r="R14" s="117" t="str">
        <f t="shared" si="0"/>
        <v>BRITA 2PEDREIRAPISTA</v>
      </c>
      <c r="S14" s="113" t="e">
        <f t="shared" si="4"/>
        <v>#DIV/0!</v>
      </c>
    </row>
    <row r="15" spans="3:22" ht="20.100000000000001" customHeight="1">
      <c r="C15" s="108" t="s">
        <v>92</v>
      </c>
      <c r="D15" s="109" t="s">
        <v>120</v>
      </c>
      <c r="E15" s="190"/>
      <c r="F15" s="109" t="s">
        <v>80</v>
      </c>
      <c r="G15" s="190"/>
      <c r="H15" s="110">
        <f t="shared" si="1"/>
        <v>0</v>
      </c>
      <c r="I15" s="190"/>
      <c r="J15" s="110">
        <v>0</v>
      </c>
      <c r="K15" s="112" t="e">
        <f t="shared" si="2"/>
        <v>#DIV/0!</v>
      </c>
      <c r="L15" s="148"/>
      <c r="M15" s="148"/>
      <c r="N15" s="110">
        <f>VMD!$D$8-G15</f>
        <v>0</v>
      </c>
      <c r="O15" s="112" t="e">
        <f t="shared" si="3"/>
        <v>#DIV/0!</v>
      </c>
      <c r="P15" s="148"/>
      <c r="Q15" s="148"/>
      <c r="R15" s="117" t="str">
        <f t="shared" si="0"/>
        <v>BRITA 4PEDREIRAPISTA</v>
      </c>
      <c r="S15" s="113" t="e">
        <f t="shared" si="4"/>
        <v>#DIV/0!</v>
      </c>
    </row>
    <row r="16" spans="3:22" ht="20.100000000000001" customHeight="1">
      <c r="C16" s="108" t="s">
        <v>66</v>
      </c>
      <c r="D16" s="109" t="s">
        <v>120</v>
      </c>
      <c r="E16" s="190"/>
      <c r="F16" s="109" t="s">
        <v>80</v>
      </c>
      <c r="G16" s="190"/>
      <c r="H16" s="110">
        <f t="shared" si="1"/>
        <v>0</v>
      </c>
      <c r="I16" s="190"/>
      <c r="J16" s="110">
        <v>0</v>
      </c>
      <c r="K16" s="112" t="e">
        <f t="shared" si="2"/>
        <v>#DIV/0!</v>
      </c>
      <c r="L16" s="148"/>
      <c r="M16" s="148"/>
      <c r="N16" s="110">
        <f>VMD!$D$8-G16</f>
        <v>0</v>
      </c>
      <c r="O16" s="112" t="e">
        <f t="shared" si="3"/>
        <v>#DIV/0!</v>
      </c>
      <c r="P16" s="148"/>
      <c r="Q16" s="148"/>
      <c r="R16" s="117" t="str">
        <f t="shared" si="0"/>
        <v>PEDRA DE MÃOPEDREIRAPISTA</v>
      </c>
      <c r="S16" s="113" t="e">
        <f t="shared" si="4"/>
        <v>#DIV/0!</v>
      </c>
    </row>
    <row r="17" spans="3:19" ht="20.100000000000001" customHeight="1">
      <c r="C17" s="108" t="s">
        <v>82</v>
      </c>
      <c r="D17" s="109" t="s">
        <v>120</v>
      </c>
      <c r="E17" s="190"/>
      <c r="F17" s="109" t="s">
        <v>104</v>
      </c>
      <c r="G17" s="190"/>
      <c r="H17" s="110">
        <f t="shared" si="1"/>
        <v>0</v>
      </c>
      <c r="I17" s="190"/>
      <c r="J17" s="110">
        <f>VMD!$D$7-VMDf!$G$17</f>
        <v>0</v>
      </c>
      <c r="K17" s="112" t="e">
        <f t="shared" si="2"/>
        <v>#DIV/0!</v>
      </c>
      <c r="L17" s="148"/>
      <c r="M17" s="148"/>
      <c r="N17" s="110">
        <f>VMD!$E$8</f>
        <v>0</v>
      </c>
      <c r="O17" s="112" t="e">
        <f t="shared" si="3"/>
        <v>#DIV/0!</v>
      </c>
      <c r="P17" s="148"/>
      <c r="Q17" s="148"/>
      <c r="R17" s="117" t="str">
        <f t="shared" si="0"/>
        <v>PEDRISCOPEDREIRAUSINA</v>
      </c>
      <c r="S17" s="113" t="e">
        <f t="shared" si="4"/>
        <v>#DIV/0!</v>
      </c>
    </row>
    <row r="18" spans="3:19" ht="20.100000000000001" customHeight="1">
      <c r="C18" s="108" t="s">
        <v>65</v>
      </c>
      <c r="D18" s="109" t="s">
        <v>120</v>
      </c>
      <c r="E18" s="190"/>
      <c r="F18" s="109" t="s">
        <v>80</v>
      </c>
      <c r="G18" s="190"/>
      <c r="H18" s="110">
        <f t="shared" si="1"/>
        <v>0</v>
      </c>
      <c r="I18" s="190"/>
      <c r="J18" s="110">
        <v>0</v>
      </c>
      <c r="K18" s="112" t="e">
        <f t="shared" si="2"/>
        <v>#DIV/0!</v>
      </c>
      <c r="L18" s="148"/>
      <c r="M18" s="148"/>
      <c r="N18" s="110">
        <f>VMD!$D$8-G18</f>
        <v>0</v>
      </c>
      <c r="O18" s="112" t="e">
        <f t="shared" si="3"/>
        <v>#DIV/0!</v>
      </c>
      <c r="P18" s="148"/>
      <c r="Q18" s="148"/>
      <c r="R18" s="117" t="str">
        <f t="shared" si="0"/>
        <v>PÓ DE PEDRAPEDREIRAPISTA</v>
      </c>
      <c r="S18" s="113" t="e">
        <f t="shared" si="4"/>
        <v>#DIV/0!</v>
      </c>
    </row>
    <row r="19" spans="3:19" ht="20.100000000000001" customHeight="1">
      <c r="C19" s="108" t="s">
        <v>65</v>
      </c>
      <c r="D19" s="109" t="s">
        <v>120</v>
      </c>
      <c r="E19" s="190"/>
      <c r="F19" s="109" t="s">
        <v>104</v>
      </c>
      <c r="G19" s="190"/>
      <c r="H19" s="110">
        <f t="shared" si="1"/>
        <v>0</v>
      </c>
      <c r="I19" s="190"/>
      <c r="J19" s="110">
        <f>VMD!$D$7-VMDf!$G$19</f>
        <v>0</v>
      </c>
      <c r="K19" s="112" t="e">
        <f t="shared" ref="K19" si="5">J19/H19</f>
        <v>#DIV/0!</v>
      </c>
      <c r="L19" s="148"/>
      <c r="M19" s="148"/>
      <c r="N19" s="110">
        <f>VMD!$E$8</f>
        <v>0</v>
      </c>
      <c r="O19" s="112" t="e">
        <f t="shared" ref="O19" si="6">N19/H19</f>
        <v>#DIV/0!</v>
      </c>
      <c r="P19" s="148"/>
      <c r="Q19" s="148"/>
      <c r="R19" s="117" t="str">
        <f t="shared" ref="R19" si="7">C19&amp;D19&amp;F19</f>
        <v>PÓ DE PEDRAPEDREIRAUSINA</v>
      </c>
      <c r="S19" s="113" t="e">
        <f t="shared" si="4"/>
        <v>#DIV/0!</v>
      </c>
    </row>
    <row r="20" spans="3:19" ht="20.100000000000001" customHeight="1">
      <c r="C20" s="108" t="s">
        <v>103</v>
      </c>
      <c r="D20" s="109" t="s">
        <v>104</v>
      </c>
      <c r="E20" s="190"/>
      <c r="F20" s="109" t="s">
        <v>80</v>
      </c>
      <c r="G20" s="190"/>
      <c r="H20" s="110">
        <f>G20-E20</f>
        <v>0</v>
      </c>
      <c r="I20" s="190"/>
      <c r="J20" s="110">
        <f>VMD!$D$7-VMDf!$E$20</f>
        <v>0</v>
      </c>
      <c r="K20" s="112" t="e">
        <f t="shared" si="2"/>
        <v>#DIV/0!</v>
      </c>
      <c r="L20" s="149"/>
      <c r="M20" s="149"/>
      <c r="N20" s="110">
        <f>$G$20-VMD!$D$7</f>
        <v>0</v>
      </c>
      <c r="O20" s="112" t="e">
        <f t="shared" si="3"/>
        <v>#DIV/0!</v>
      </c>
      <c r="P20" s="149"/>
      <c r="Q20" s="149"/>
      <c r="R20" s="117" t="str">
        <f>C20&amp;D20&amp;F20</f>
        <v>MISTURA BETUMINOSAUSINAPISTA</v>
      </c>
      <c r="S20" s="113" t="e">
        <f>ROUND((J20*$L$7+N20*$P$7)/H20,0)</f>
        <v>#DIV/0!</v>
      </c>
    </row>
    <row r="21" spans="3:19" ht="20.100000000000001" customHeight="1" thickBot="1">
      <c r="C21" s="90"/>
      <c r="D21" s="87"/>
      <c r="E21" s="87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118"/>
      <c r="S21" s="79"/>
    </row>
    <row r="22" spans="3:19" ht="13.5" customHeight="1" thickTop="1"/>
    <row r="23" spans="3:19" ht="20.100000000000001" customHeight="1"/>
    <row r="24" spans="3:19" ht="20.100000000000001" customHeight="1"/>
    <row r="25" spans="3:19" ht="20.100000000000001" customHeight="1"/>
    <row r="26" spans="3:19" ht="20.100000000000001" customHeight="1"/>
    <row r="27" spans="3:19" ht="20.100000000000001" customHeight="1"/>
    <row r="28" spans="3:19" ht="20.100000000000001" customHeight="1"/>
    <row r="29" spans="3:19" ht="20.100000000000001" customHeight="1">
      <c r="C29" s="131"/>
      <c r="D29" s="131"/>
      <c r="E29" s="46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120"/>
    </row>
    <row r="30" spans="3:19" ht="20.100000000000001" customHeight="1">
      <c r="C30" s="131"/>
      <c r="D30" s="131"/>
      <c r="E30" s="46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121"/>
    </row>
    <row r="31" spans="3:19" ht="20.100000000000001" customHeight="1">
      <c r="C31" s="131"/>
      <c r="D31" s="131"/>
      <c r="E31" s="46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122"/>
    </row>
    <row r="32" spans="3:19" ht="20.100000000000001" customHeight="1">
      <c r="C32" s="131"/>
      <c r="D32" s="131"/>
      <c r="E32" s="46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122"/>
    </row>
    <row r="33" spans="3:18" ht="20.100000000000001" customHeight="1">
      <c r="C33" s="131"/>
      <c r="D33" s="131"/>
      <c r="E33" s="46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122"/>
    </row>
    <row r="34" spans="3:18" ht="20.100000000000001" customHeight="1"/>
    <row r="35" spans="3:18" ht="20.100000000000001" customHeight="1"/>
    <row r="36" spans="3:18" ht="20.100000000000001" customHeight="1"/>
    <row r="37" spans="3:18" ht="20.100000000000001" customHeight="1"/>
    <row r="38" spans="3:18" ht="20.100000000000001" customHeight="1"/>
    <row r="39" spans="3:18" ht="20.100000000000001" customHeight="1"/>
    <row r="40" spans="3:18" ht="20.100000000000001" customHeight="1"/>
    <row r="41" spans="3:18" ht="20.100000000000001" customHeight="1"/>
    <row r="42" spans="3:18" ht="20.100000000000001" customHeight="1"/>
    <row r="43" spans="3:18" ht="20.100000000000001" customHeight="1"/>
    <row r="44" spans="3:18" ht="20.100000000000001" customHeight="1"/>
    <row r="45" spans="3:18" ht="20.100000000000001" customHeight="1"/>
    <row r="46" spans="3:18" ht="20.100000000000001" customHeight="1"/>
    <row r="47" spans="3:18" ht="20.100000000000001" customHeight="1"/>
    <row r="48" spans="3:18" ht="20.100000000000001" customHeight="1"/>
    <row r="49" ht="20.100000000000001" customHeight="1"/>
    <row r="50" ht="20.100000000000001" customHeight="1"/>
  </sheetData>
  <mergeCells count="19">
    <mergeCell ref="P7:P20"/>
    <mergeCell ref="Q7:Q20"/>
    <mergeCell ref="C3:S3"/>
    <mergeCell ref="D4:E4"/>
    <mergeCell ref="F4:G4"/>
    <mergeCell ref="I4:I5"/>
    <mergeCell ref="J4:M4"/>
    <mergeCell ref="N4:Q4"/>
    <mergeCell ref="C32:D32"/>
    <mergeCell ref="C33:D33"/>
    <mergeCell ref="C4:C5"/>
    <mergeCell ref="H4:H5"/>
    <mergeCell ref="C29:D29"/>
    <mergeCell ref="C30:D30"/>
    <mergeCell ref="C31:D31"/>
    <mergeCell ref="C6:S6"/>
    <mergeCell ref="S4:S5"/>
    <mergeCell ref="L7:L20"/>
    <mergeCell ref="M7:M20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tabColor theme="6" tint="0.39997558519241921"/>
    <pageSetUpPr fitToPage="1"/>
  </sheetPr>
  <dimension ref="C2:S85"/>
  <sheetViews>
    <sheetView view="pageBreakPreview" zoomScale="85" zoomScaleNormal="100" zoomScaleSheetLayoutView="85" workbookViewId="0">
      <selection activeCell="D35" sqref="D35"/>
    </sheetView>
  </sheetViews>
  <sheetFormatPr defaultRowHeight="12.75"/>
  <cols>
    <col min="1" max="1" width="2.28515625" style="95" customWidth="1"/>
    <col min="2" max="2" width="1.5703125" style="95" customWidth="1"/>
    <col min="3" max="3" width="17.140625" style="104" bestFit="1" customWidth="1"/>
    <col min="4" max="4" width="72" style="95" customWidth="1"/>
    <col min="5" max="5" width="24.140625" style="104" customWidth="1"/>
    <col min="6" max="6" width="16" style="104" customWidth="1"/>
    <col min="7" max="7" width="13.7109375" style="104" customWidth="1"/>
    <col min="8" max="8" width="35.5703125" style="105" hidden="1" customWidth="1"/>
    <col min="9" max="9" width="9" style="54" hidden="1" customWidth="1"/>
    <col min="10" max="10" width="9.140625" style="54" hidden="1" customWidth="1"/>
    <col min="11" max="11" width="16.28515625" style="54" customWidth="1"/>
    <col min="12" max="12" width="12.28515625" style="56" customWidth="1"/>
    <col min="13" max="13" width="12.5703125" style="56" bestFit="1" customWidth="1"/>
    <col min="14" max="14" width="10.85546875" style="56" hidden="1" customWidth="1"/>
    <col min="15" max="15" width="11.5703125" style="56" customWidth="1"/>
    <col min="16" max="16" width="8.42578125" style="56" customWidth="1"/>
    <col min="17" max="17" width="11.42578125" style="56" customWidth="1"/>
    <col min="18" max="18" width="13.140625" style="56" customWidth="1"/>
    <col min="19" max="19" width="7.7109375" style="95" bestFit="1" customWidth="1"/>
    <col min="20" max="20" width="3" style="95" customWidth="1"/>
    <col min="21" max="21" width="19.140625" style="95" customWidth="1"/>
    <col min="22" max="16384" width="9.140625" style="95"/>
  </cols>
  <sheetData>
    <row r="2" spans="3:19" ht="15.75" thickBot="1">
      <c r="C2" s="15"/>
      <c r="D2" s="14"/>
      <c r="E2" s="15"/>
      <c r="F2" s="15"/>
      <c r="G2" s="15"/>
      <c r="H2" s="96"/>
      <c r="I2" s="57"/>
      <c r="J2" s="57"/>
      <c r="K2" s="57"/>
      <c r="L2" s="5"/>
      <c r="M2" s="5"/>
      <c r="N2" s="5"/>
      <c r="O2" s="5"/>
      <c r="P2" s="5"/>
      <c r="Q2" s="5"/>
      <c r="R2" s="5"/>
    </row>
    <row r="3" spans="3:19" ht="20.100000000000001" customHeight="1" thickTop="1">
      <c r="C3" s="137" t="s">
        <v>77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</row>
    <row r="4" spans="3:19" ht="20.100000000000001" customHeight="1">
      <c r="C4" s="140" t="s">
        <v>0</v>
      </c>
      <c r="D4" s="162" t="s">
        <v>33</v>
      </c>
      <c r="E4" s="164" t="s">
        <v>55</v>
      </c>
      <c r="F4" s="164" t="s">
        <v>70</v>
      </c>
      <c r="G4" s="164" t="s">
        <v>83</v>
      </c>
      <c r="H4" s="94" t="s">
        <v>76</v>
      </c>
      <c r="I4" s="132" t="s">
        <v>112</v>
      </c>
      <c r="J4" s="132" t="s">
        <v>113</v>
      </c>
      <c r="K4" s="132" t="s">
        <v>107</v>
      </c>
      <c r="L4" s="155" t="s">
        <v>97</v>
      </c>
      <c r="M4" s="155" t="s">
        <v>105</v>
      </c>
      <c r="N4" s="155" t="s">
        <v>98</v>
      </c>
      <c r="O4" s="155" t="s">
        <v>99</v>
      </c>
      <c r="P4" s="155" t="s">
        <v>100</v>
      </c>
      <c r="Q4" s="155" t="s">
        <v>101</v>
      </c>
      <c r="R4" s="155" t="s">
        <v>102</v>
      </c>
      <c r="S4" s="160" t="s">
        <v>26</v>
      </c>
    </row>
    <row r="5" spans="3:19" ht="20.100000000000001" customHeight="1">
      <c r="C5" s="141"/>
      <c r="D5" s="163"/>
      <c r="E5" s="165"/>
      <c r="F5" s="165"/>
      <c r="G5" s="165"/>
      <c r="H5" s="94"/>
      <c r="I5" s="133"/>
      <c r="J5" s="133"/>
      <c r="K5" s="133"/>
      <c r="L5" s="156"/>
      <c r="M5" s="156"/>
      <c r="N5" s="156"/>
      <c r="O5" s="156"/>
      <c r="P5" s="156"/>
      <c r="Q5" s="156"/>
      <c r="R5" s="156"/>
      <c r="S5" s="161"/>
    </row>
    <row r="6" spans="3:19" ht="20.100000000000001" customHeight="1">
      <c r="C6" s="157" t="s">
        <v>84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9"/>
    </row>
    <row r="7" spans="3:19" s="55" customFormat="1" ht="20.100000000000001" customHeight="1">
      <c r="C7" s="191"/>
      <c r="D7" s="192"/>
      <c r="E7" s="97"/>
      <c r="F7" s="97"/>
      <c r="G7" s="97"/>
      <c r="H7" s="97" t="str">
        <f>E7&amp;F7&amp;G7</f>
        <v/>
      </c>
      <c r="I7" s="17">
        <v>44.3</v>
      </c>
      <c r="J7" s="17">
        <v>23.011882352941175</v>
      </c>
      <c r="K7" s="196"/>
      <c r="L7" s="197"/>
      <c r="M7" s="8" t="str">
        <f t="shared" ref="M7:M38" si="0">IF(L7&gt;=100,"NÃO","SIM")</f>
        <v>SIM</v>
      </c>
      <c r="N7" s="106" t="e">
        <f>VLOOKUP(H7,#REF!,8,FALSE)</f>
        <v>#REF!</v>
      </c>
      <c r="O7" s="197"/>
      <c r="P7" s="97"/>
      <c r="Q7" s="198"/>
      <c r="R7" s="106">
        <f>60*O7</f>
        <v>0</v>
      </c>
      <c r="S7" s="123" t="e">
        <f>IF(M7="NÃO",1,1+(Q7+R7)/(L7*60))</f>
        <v>#DIV/0!</v>
      </c>
    </row>
    <row r="8" spans="3:19" s="55" customFormat="1" ht="20.100000000000001" customHeight="1">
      <c r="C8" s="191"/>
      <c r="D8" s="192"/>
      <c r="E8" s="97"/>
      <c r="F8" s="97"/>
      <c r="G8" s="97"/>
      <c r="H8" s="97" t="str">
        <f t="shared" ref="H8:H58" si="1">E8&amp;F8&amp;G8</f>
        <v/>
      </c>
      <c r="I8" s="17">
        <v>85</v>
      </c>
      <c r="J8" s="17">
        <v>42.5</v>
      </c>
      <c r="K8" s="196"/>
      <c r="L8" s="197"/>
      <c r="M8" s="8" t="str">
        <f t="shared" si="0"/>
        <v>SIM</v>
      </c>
      <c r="N8" s="106" t="e">
        <f>VLOOKUP(H8,#REF!,8,FALSE)</f>
        <v>#REF!</v>
      </c>
      <c r="O8" s="197"/>
      <c r="P8" s="97"/>
      <c r="Q8" s="198"/>
      <c r="R8" s="106">
        <f t="shared" ref="R8:R58" si="2">60*O8</f>
        <v>0</v>
      </c>
      <c r="S8" s="123" t="e">
        <f t="shared" ref="S8:S58" si="3">IF(M8="NÃO",1,1+(Q8+R8)/(L8*60))</f>
        <v>#DIV/0!</v>
      </c>
    </row>
    <row r="9" spans="3:19" s="55" customFormat="1" ht="20.100000000000001" customHeight="1">
      <c r="C9" s="191"/>
      <c r="D9" s="192"/>
      <c r="E9" s="97"/>
      <c r="F9" s="97"/>
      <c r="G9" s="97"/>
      <c r="H9" s="97" t="str">
        <f t="shared" si="1"/>
        <v/>
      </c>
      <c r="I9" s="17">
        <v>85</v>
      </c>
      <c r="J9" s="17">
        <v>42.5</v>
      </c>
      <c r="K9" s="196"/>
      <c r="L9" s="197"/>
      <c r="M9" s="8" t="str">
        <f t="shared" si="0"/>
        <v>SIM</v>
      </c>
      <c r="N9" s="106" t="e">
        <f>VLOOKUP(H9,#REF!,8,FALSE)</f>
        <v>#REF!</v>
      </c>
      <c r="O9" s="197"/>
      <c r="P9" s="97"/>
      <c r="Q9" s="198"/>
      <c r="R9" s="106">
        <f t="shared" si="2"/>
        <v>0</v>
      </c>
      <c r="S9" s="123" t="e">
        <f t="shared" si="3"/>
        <v>#DIV/0!</v>
      </c>
    </row>
    <row r="10" spans="3:19" s="55" customFormat="1" ht="20.100000000000001" customHeight="1">
      <c r="C10" s="191"/>
      <c r="D10" s="192"/>
      <c r="E10" s="97"/>
      <c r="F10" s="97"/>
      <c r="G10" s="97"/>
      <c r="H10" s="97" t="str">
        <f t="shared" si="1"/>
        <v/>
      </c>
      <c r="I10" s="17">
        <v>85</v>
      </c>
      <c r="J10" s="17">
        <v>42.5</v>
      </c>
      <c r="K10" s="196"/>
      <c r="L10" s="197"/>
      <c r="M10" s="8" t="str">
        <f t="shared" si="0"/>
        <v>SIM</v>
      </c>
      <c r="N10" s="106" t="e">
        <f>VLOOKUP(H10,#REF!,8,FALSE)</f>
        <v>#REF!</v>
      </c>
      <c r="O10" s="197"/>
      <c r="P10" s="97"/>
      <c r="Q10" s="198"/>
      <c r="R10" s="106">
        <f t="shared" si="2"/>
        <v>0</v>
      </c>
      <c r="S10" s="123" t="e">
        <f t="shared" si="3"/>
        <v>#DIV/0!</v>
      </c>
    </row>
    <row r="11" spans="3:19" s="55" customFormat="1" ht="20.100000000000001" customHeight="1">
      <c r="C11" s="191"/>
      <c r="D11" s="192"/>
      <c r="E11" s="97"/>
      <c r="F11" s="97"/>
      <c r="G11" s="97"/>
      <c r="H11" s="97" t="str">
        <f t="shared" si="1"/>
        <v/>
      </c>
      <c r="I11" s="17">
        <v>44.3</v>
      </c>
      <c r="J11" s="17">
        <v>23.011882352941175</v>
      </c>
      <c r="K11" s="196"/>
      <c r="L11" s="197"/>
      <c r="M11" s="8" t="str">
        <f t="shared" si="0"/>
        <v>SIM</v>
      </c>
      <c r="N11" s="106" t="e">
        <f>VLOOKUP(H11,#REF!,8,FALSE)</f>
        <v>#REF!</v>
      </c>
      <c r="O11" s="197"/>
      <c r="P11" s="97"/>
      <c r="Q11" s="198"/>
      <c r="R11" s="106">
        <f t="shared" si="2"/>
        <v>0</v>
      </c>
      <c r="S11" s="123" t="e">
        <f t="shared" si="3"/>
        <v>#DIV/0!</v>
      </c>
    </row>
    <row r="12" spans="3:19" s="55" customFormat="1" ht="20.100000000000001" customHeight="1">
      <c r="C12" s="191"/>
      <c r="D12" s="192"/>
      <c r="E12" s="97"/>
      <c r="F12" s="97"/>
      <c r="G12" s="97"/>
      <c r="H12" s="97" t="str">
        <f t="shared" si="1"/>
        <v/>
      </c>
      <c r="I12" s="17">
        <v>85</v>
      </c>
      <c r="J12" s="17">
        <v>42.5</v>
      </c>
      <c r="K12" s="196"/>
      <c r="L12" s="197"/>
      <c r="M12" s="8" t="str">
        <f t="shared" si="0"/>
        <v>SIM</v>
      </c>
      <c r="N12" s="106" t="e">
        <f>VLOOKUP(H12,#REF!,8,FALSE)</f>
        <v>#REF!</v>
      </c>
      <c r="O12" s="197"/>
      <c r="P12" s="97"/>
      <c r="Q12" s="198"/>
      <c r="R12" s="106">
        <f t="shared" si="2"/>
        <v>0</v>
      </c>
      <c r="S12" s="123" t="e">
        <f t="shared" si="3"/>
        <v>#DIV/0!</v>
      </c>
    </row>
    <row r="13" spans="3:19" s="55" customFormat="1" ht="20.100000000000001" customHeight="1">
      <c r="C13" s="191"/>
      <c r="D13" s="192"/>
      <c r="E13" s="97"/>
      <c r="F13" s="97"/>
      <c r="G13" s="97"/>
      <c r="H13" s="97" t="str">
        <f t="shared" si="1"/>
        <v/>
      </c>
      <c r="I13" s="17">
        <v>85</v>
      </c>
      <c r="J13" s="17">
        <v>42.5</v>
      </c>
      <c r="K13" s="196"/>
      <c r="L13" s="197"/>
      <c r="M13" s="8" t="str">
        <f t="shared" si="0"/>
        <v>SIM</v>
      </c>
      <c r="N13" s="106" t="e">
        <f>VLOOKUP(H13,#REF!,8,FALSE)</f>
        <v>#REF!</v>
      </c>
      <c r="O13" s="197"/>
      <c r="P13" s="97"/>
      <c r="Q13" s="198"/>
      <c r="R13" s="106">
        <f t="shared" si="2"/>
        <v>0</v>
      </c>
      <c r="S13" s="123" t="e">
        <f t="shared" si="3"/>
        <v>#DIV/0!</v>
      </c>
    </row>
    <row r="14" spans="3:19" s="55" customFormat="1" ht="20.100000000000001" customHeight="1">
      <c r="C14" s="191"/>
      <c r="D14" s="192"/>
      <c r="E14" s="97"/>
      <c r="F14" s="97"/>
      <c r="G14" s="97"/>
      <c r="H14" s="97" t="str">
        <f t="shared" si="1"/>
        <v/>
      </c>
      <c r="I14" s="17">
        <v>85</v>
      </c>
      <c r="J14" s="17">
        <v>42.5</v>
      </c>
      <c r="K14" s="196"/>
      <c r="L14" s="197"/>
      <c r="M14" s="8" t="str">
        <f t="shared" si="0"/>
        <v>SIM</v>
      </c>
      <c r="N14" s="106" t="e">
        <f>VLOOKUP(H14,#REF!,8,FALSE)</f>
        <v>#REF!</v>
      </c>
      <c r="O14" s="197"/>
      <c r="P14" s="97"/>
      <c r="Q14" s="198"/>
      <c r="R14" s="106">
        <f t="shared" si="2"/>
        <v>0</v>
      </c>
      <c r="S14" s="123" t="e">
        <f t="shared" si="3"/>
        <v>#DIV/0!</v>
      </c>
    </row>
    <row r="15" spans="3:19" s="55" customFormat="1" ht="20.100000000000001" customHeight="1">
      <c r="C15" s="191"/>
      <c r="D15" s="192"/>
      <c r="E15" s="97"/>
      <c r="F15" s="97"/>
      <c r="G15" s="97"/>
      <c r="H15" s="97" t="str">
        <f t="shared" si="1"/>
        <v/>
      </c>
      <c r="I15" s="17">
        <v>44.3</v>
      </c>
      <c r="J15" s="17">
        <v>23.011882352941175</v>
      </c>
      <c r="K15" s="196"/>
      <c r="L15" s="197"/>
      <c r="M15" s="8" t="str">
        <f t="shared" si="0"/>
        <v>SIM</v>
      </c>
      <c r="N15" s="106" t="e">
        <f>VLOOKUP(H15,#REF!,8,FALSE)</f>
        <v>#REF!</v>
      </c>
      <c r="O15" s="197"/>
      <c r="P15" s="97"/>
      <c r="Q15" s="198"/>
      <c r="R15" s="106">
        <f t="shared" si="2"/>
        <v>0</v>
      </c>
      <c r="S15" s="123" t="e">
        <f t="shared" si="3"/>
        <v>#DIV/0!</v>
      </c>
    </row>
    <row r="16" spans="3:19" s="55" customFormat="1" ht="20.100000000000001" customHeight="1">
      <c r="C16" s="191"/>
      <c r="D16" s="192"/>
      <c r="E16" s="97"/>
      <c r="F16" s="97"/>
      <c r="G16" s="97"/>
      <c r="H16" s="97" t="str">
        <f t="shared" si="1"/>
        <v/>
      </c>
      <c r="I16" s="17">
        <v>85</v>
      </c>
      <c r="J16" s="17">
        <v>42.5</v>
      </c>
      <c r="K16" s="196"/>
      <c r="L16" s="197"/>
      <c r="M16" s="8" t="str">
        <f t="shared" si="0"/>
        <v>SIM</v>
      </c>
      <c r="N16" s="106" t="e">
        <f>VLOOKUP(H16,#REF!,8,FALSE)</f>
        <v>#REF!</v>
      </c>
      <c r="O16" s="197"/>
      <c r="P16" s="97"/>
      <c r="Q16" s="198"/>
      <c r="R16" s="106">
        <f t="shared" si="2"/>
        <v>0</v>
      </c>
      <c r="S16" s="123" t="e">
        <f t="shared" si="3"/>
        <v>#DIV/0!</v>
      </c>
    </row>
    <row r="17" spans="3:19" s="55" customFormat="1" ht="20.100000000000001" customHeight="1">
      <c r="C17" s="191"/>
      <c r="D17" s="192"/>
      <c r="E17" s="97"/>
      <c r="F17" s="97"/>
      <c r="G17" s="97"/>
      <c r="H17" s="97" t="str">
        <f t="shared" si="1"/>
        <v/>
      </c>
      <c r="I17" s="17">
        <v>85</v>
      </c>
      <c r="J17" s="17">
        <v>42.5</v>
      </c>
      <c r="K17" s="196"/>
      <c r="L17" s="197"/>
      <c r="M17" s="8" t="str">
        <f t="shared" si="0"/>
        <v>SIM</v>
      </c>
      <c r="N17" s="106" t="e">
        <f>VLOOKUP(H17,#REF!,8,FALSE)</f>
        <v>#REF!</v>
      </c>
      <c r="O17" s="197"/>
      <c r="P17" s="97"/>
      <c r="Q17" s="198"/>
      <c r="R17" s="106">
        <f t="shared" si="2"/>
        <v>0</v>
      </c>
      <c r="S17" s="123" t="e">
        <f t="shared" si="3"/>
        <v>#DIV/0!</v>
      </c>
    </row>
    <row r="18" spans="3:19" s="55" customFormat="1" ht="20.100000000000001" customHeight="1">
      <c r="C18" s="191"/>
      <c r="D18" s="192"/>
      <c r="E18" s="97"/>
      <c r="F18" s="97"/>
      <c r="G18" s="97"/>
      <c r="H18" s="97" t="str">
        <f t="shared" si="1"/>
        <v/>
      </c>
      <c r="I18" s="17">
        <v>44.3</v>
      </c>
      <c r="J18" s="17">
        <v>23.011882352941175</v>
      </c>
      <c r="K18" s="196"/>
      <c r="L18" s="197"/>
      <c r="M18" s="8" t="str">
        <f t="shared" si="0"/>
        <v>SIM</v>
      </c>
      <c r="N18" s="106" t="e">
        <f>VLOOKUP(H18,#REF!,8,FALSE)</f>
        <v>#REF!</v>
      </c>
      <c r="O18" s="197"/>
      <c r="P18" s="97"/>
      <c r="Q18" s="198"/>
      <c r="R18" s="106">
        <f t="shared" si="2"/>
        <v>0</v>
      </c>
      <c r="S18" s="123" t="e">
        <f t="shared" si="3"/>
        <v>#DIV/0!</v>
      </c>
    </row>
    <row r="19" spans="3:19" s="55" customFormat="1" ht="20.100000000000001" customHeight="1">
      <c r="C19" s="191"/>
      <c r="D19" s="192"/>
      <c r="E19" s="97"/>
      <c r="F19" s="97"/>
      <c r="G19" s="97"/>
      <c r="H19" s="97" t="str">
        <f t="shared" si="1"/>
        <v/>
      </c>
      <c r="I19" s="17">
        <v>85</v>
      </c>
      <c r="J19" s="17">
        <v>42.5</v>
      </c>
      <c r="K19" s="196"/>
      <c r="L19" s="197"/>
      <c r="M19" s="8" t="str">
        <f t="shared" si="0"/>
        <v>SIM</v>
      </c>
      <c r="N19" s="106" t="e">
        <f>VLOOKUP(H19,#REF!,8,FALSE)</f>
        <v>#REF!</v>
      </c>
      <c r="O19" s="197"/>
      <c r="P19" s="97"/>
      <c r="Q19" s="198"/>
      <c r="R19" s="106">
        <f t="shared" si="2"/>
        <v>0</v>
      </c>
      <c r="S19" s="123" t="e">
        <f t="shared" si="3"/>
        <v>#DIV/0!</v>
      </c>
    </row>
    <row r="20" spans="3:19" s="55" customFormat="1" ht="20.100000000000001" customHeight="1">
      <c r="C20" s="191"/>
      <c r="D20" s="192"/>
      <c r="E20" s="97"/>
      <c r="F20" s="97"/>
      <c r="G20" s="97"/>
      <c r="H20" s="97" t="str">
        <f t="shared" si="1"/>
        <v/>
      </c>
      <c r="I20" s="17">
        <v>85</v>
      </c>
      <c r="J20" s="17">
        <v>42.5</v>
      </c>
      <c r="K20" s="196"/>
      <c r="L20" s="197"/>
      <c r="M20" s="8" t="str">
        <f t="shared" si="0"/>
        <v>SIM</v>
      </c>
      <c r="N20" s="106" t="e">
        <f>VLOOKUP(H20,#REF!,8,FALSE)</f>
        <v>#REF!</v>
      </c>
      <c r="O20" s="197"/>
      <c r="P20" s="97"/>
      <c r="Q20" s="198"/>
      <c r="R20" s="106">
        <f t="shared" si="2"/>
        <v>0</v>
      </c>
      <c r="S20" s="123" t="e">
        <f t="shared" si="3"/>
        <v>#DIV/0!</v>
      </c>
    </row>
    <row r="21" spans="3:19" s="55" customFormat="1" ht="20.100000000000001" customHeight="1">
      <c r="C21" s="191"/>
      <c r="D21" s="192"/>
      <c r="E21" s="97"/>
      <c r="F21" s="97"/>
      <c r="G21" s="97"/>
      <c r="H21" s="97" t="str">
        <f t="shared" si="1"/>
        <v/>
      </c>
      <c r="I21" s="17">
        <v>44.3</v>
      </c>
      <c r="J21" s="17">
        <v>23.011882352941175</v>
      </c>
      <c r="K21" s="196"/>
      <c r="L21" s="197"/>
      <c r="M21" s="8" t="str">
        <f t="shared" si="0"/>
        <v>SIM</v>
      </c>
      <c r="N21" s="106" t="e">
        <f>VLOOKUP(H21,#REF!,8,FALSE)</f>
        <v>#REF!</v>
      </c>
      <c r="O21" s="197"/>
      <c r="P21" s="97"/>
      <c r="Q21" s="198"/>
      <c r="R21" s="106">
        <f t="shared" si="2"/>
        <v>0</v>
      </c>
      <c r="S21" s="123" t="e">
        <f t="shared" si="3"/>
        <v>#DIV/0!</v>
      </c>
    </row>
    <row r="22" spans="3:19" s="55" customFormat="1" ht="20.100000000000001" customHeight="1">
      <c r="C22" s="191"/>
      <c r="D22" s="192"/>
      <c r="E22" s="97"/>
      <c r="F22" s="97"/>
      <c r="G22" s="97"/>
      <c r="H22" s="97" t="str">
        <f t="shared" si="1"/>
        <v/>
      </c>
      <c r="I22" s="17">
        <v>85</v>
      </c>
      <c r="J22" s="17">
        <v>42.5</v>
      </c>
      <c r="K22" s="196"/>
      <c r="L22" s="197"/>
      <c r="M22" s="8" t="str">
        <f t="shared" si="0"/>
        <v>SIM</v>
      </c>
      <c r="N22" s="106" t="e">
        <f>VLOOKUP(H22,#REF!,8,FALSE)</f>
        <v>#REF!</v>
      </c>
      <c r="O22" s="197"/>
      <c r="P22" s="97"/>
      <c r="Q22" s="198"/>
      <c r="R22" s="106">
        <f t="shared" si="2"/>
        <v>0</v>
      </c>
      <c r="S22" s="123" t="e">
        <f t="shared" si="3"/>
        <v>#DIV/0!</v>
      </c>
    </row>
    <row r="23" spans="3:19" s="55" customFormat="1" ht="20.100000000000001" customHeight="1">
      <c r="C23" s="191"/>
      <c r="D23" s="192"/>
      <c r="E23" s="97"/>
      <c r="F23" s="97"/>
      <c r="G23" s="97"/>
      <c r="H23" s="97" t="str">
        <f t="shared" si="1"/>
        <v/>
      </c>
      <c r="I23" s="17">
        <v>44.3</v>
      </c>
      <c r="J23" s="17">
        <v>23.011882352941175</v>
      </c>
      <c r="K23" s="196"/>
      <c r="L23" s="197"/>
      <c r="M23" s="8" t="str">
        <f t="shared" si="0"/>
        <v>SIM</v>
      </c>
      <c r="N23" s="106" t="e">
        <f>VLOOKUP(H23,#REF!,8,FALSE)</f>
        <v>#REF!</v>
      </c>
      <c r="O23" s="197"/>
      <c r="P23" s="97"/>
      <c r="Q23" s="198"/>
      <c r="R23" s="106">
        <f t="shared" si="2"/>
        <v>0</v>
      </c>
      <c r="S23" s="123" t="e">
        <f t="shared" si="3"/>
        <v>#DIV/0!</v>
      </c>
    </row>
    <row r="24" spans="3:19" s="55" customFormat="1" ht="20.100000000000001" customHeight="1">
      <c r="C24" s="191"/>
      <c r="D24" s="192"/>
      <c r="E24" s="97"/>
      <c r="F24" s="97"/>
      <c r="G24" s="97"/>
      <c r="H24" s="97" t="str">
        <f t="shared" si="1"/>
        <v/>
      </c>
      <c r="I24" s="17">
        <v>85</v>
      </c>
      <c r="J24" s="17">
        <v>42.5</v>
      </c>
      <c r="K24" s="196"/>
      <c r="L24" s="197"/>
      <c r="M24" s="8" t="str">
        <f t="shared" si="0"/>
        <v>SIM</v>
      </c>
      <c r="N24" s="106" t="e">
        <f>VLOOKUP(H24,#REF!,8,FALSE)</f>
        <v>#REF!</v>
      </c>
      <c r="O24" s="197"/>
      <c r="P24" s="97"/>
      <c r="Q24" s="198"/>
      <c r="R24" s="106">
        <f t="shared" si="2"/>
        <v>0</v>
      </c>
      <c r="S24" s="123" t="e">
        <f t="shared" si="3"/>
        <v>#DIV/0!</v>
      </c>
    </row>
    <row r="25" spans="3:19" s="55" customFormat="1" ht="20.100000000000001" customHeight="1">
      <c r="C25" s="191"/>
      <c r="D25" s="192"/>
      <c r="E25" s="97"/>
      <c r="F25" s="97"/>
      <c r="G25" s="97"/>
      <c r="H25" s="97" t="str">
        <f t="shared" si="1"/>
        <v/>
      </c>
      <c r="I25" s="17">
        <v>85</v>
      </c>
      <c r="J25" s="17">
        <v>42.5</v>
      </c>
      <c r="K25" s="196"/>
      <c r="L25" s="197"/>
      <c r="M25" s="8" t="str">
        <f t="shared" si="0"/>
        <v>SIM</v>
      </c>
      <c r="N25" s="106" t="e">
        <f>VLOOKUP(H25,#REF!,8,FALSE)</f>
        <v>#REF!</v>
      </c>
      <c r="O25" s="197"/>
      <c r="P25" s="97"/>
      <c r="Q25" s="198"/>
      <c r="R25" s="106">
        <f t="shared" si="2"/>
        <v>0</v>
      </c>
      <c r="S25" s="123" t="e">
        <f t="shared" si="3"/>
        <v>#DIV/0!</v>
      </c>
    </row>
    <row r="26" spans="3:19" s="55" customFormat="1" ht="20.100000000000001" customHeight="1">
      <c r="C26" s="191"/>
      <c r="D26" s="192"/>
      <c r="E26" s="97"/>
      <c r="F26" s="97"/>
      <c r="G26" s="97"/>
      <c r="H26" s="97" t="str">
        <f t="shared" si="1"/>
        <v/>
      </c>
      <c r="I26" s="17">
        <v>44.3</v>
      </c>
      <c r="J26" s="17">
        <v>23.011882352941175</v>
      </c>
      <c r="K26" s="196"/>
      <c r="L26" s="197"/>
      <c r="M26" s="8" t="str">
        <f t="shared" si="0"/>
        <v>SIM</v>
      </c>
      <c r="N26" s="106" t="e">
        <f>VLOOKUP(H26,#REF!,8,FALSE)</f>
        <v>#REF!</v>
      </c>
      <c r="O26" s="197"/>
      <c r="P26" s="97"/>
      <c r="Q26" s="198"/>
      <c r="R26" s="106">
        <f t="shared" si="2"/>
        <v>0</v>
      </c>
      <c r="S26" s="123" t="e">
        <f t="shared" si="3"/>
        <v>#DIV/0!</v>
      </c>
    </row>
    <row r="27" spans="3:19" s="55" customFormat="1" ht="20.100000000000001" customHeight="1">
      <c r="C27" s="191"/>
      <c r="D27" s="192"/>
      <c r="E27" s="97"/>
      <c r="F27" s="97"/>
      <c r="G27" s="97"/>
      <c r="H27" s="97" t="str">
        <f t="shared" si="1"/>
        <v/>
      </c>
      <c r="I27" s="17">
        <v>85</v>
      </c>
      <c r="J27" s="17">
        <v>42.5</v>
      </c>
      <c r="K27" s="196"/>
      <c r="L27" s="197"/>
      <c r="M27" s="8" t="str">
        <f t="shared" si="0"/>
        <v>SIM</v>
      </c>
      <c r="N27" s="106" t="e">
        <f>VLOOKUP(H27,#REF!,8,FALSE)</f>
        <v>#REF!</v>
      </c>
      <c r="O27" s="197"/>
      <c r="P27" s="97"/>
      <c r="Q27" s="198"/>
      <c r="R27" s="106">
        <f t="shared" si="2"/>
        <v>0</v>
      </c>
      <c r="S27" s="123" t="e">
        <f t="shared" si="3"/>
        <v>#DIV/0!</v>
      </c>
    </row>
    <row r="28" spans="3:19" s="55" customFormat="1" ht="20.100000000000001" customHeight="1">
      <c r="C28" s="191"/>
      <c r="D28" s="192"/>
      <c r="E28" s="97"/>
      <c r="F28" s="97"/>
      <c r="G28" s="97"/>
      <c r="H28" s="97" t="str">
        <f t="shared" si="1"/>
        <v/>
      </c>
      <c r="I28" s="17">
        <v>85</v>
      </c>
      <c r="J28" s="17">
        <v>42.5</v>
      </c>
      <c r="K28" s="196"/>
      <c r="L28" s="197"/>
      <c r="M28" s="8" t="str">
        <f t="shared" si="0"/>
        <v>SIM</v>
      </c>
      <c r="N28" s="106" t="e">
        <f>VLOOKUP(H28,#REF!,8,FALSE)</f>
        <v>#REF!</v>
      </c>
      <c r="O28" s="197"/>
      <c r="P28" s="97"/>
      <c r="Q28" s="198"/>
      <c r="R28" s="106">
        <f t="shared" si="2"/>
        <v>0</v>
      </c>
      <c r="S28" s="123" t="e">
        <f t="shared" si="3"/>
        <v>#DIV/0!</v>
      </c>
    </row>
    <row r="29" spans="3:19" s="55" customFormat="1" ht="20.100000000000001" customHeight="1">
      <c r="C29" s="191"/>
      <c r="D29" s="192"/>
      <c r="E29" s="97"/>
      <c r="F29" s="97"/>
      <c r="G29" s="97"/>
      <c r="H29" s="97" t="str">
        <f t="shared" si="1"/>
        <v/>
      </c>
      <c r="I29" s="17">
        <v>85</v>
      </c>
      <c r="J29" s="17">
        <v>42.5</v>
      </c>
      <c r="K29" s="196"/>
      <c r="L29" s="197"/>
      <c r="M29" s="8" t="str">
        <f t="shared" si="0"/>
        <v>SIM</v>
      </c>
      <c r="N29" s="106" t="e">
        <f>VLOOKUP(H29,#REF!,8,FALSE)</f>
        <v>#REF!</v>
      </c>
      <c r="O29" s="197"/>
      <c r="P29" s="97"/>
      <c r="Q29" s="198"/>
      <c r="R29" s="106">
        <f t="shared" si="2"/>
        <v>0</v>
      </c>
      <c r="S29" s="123" t="e">
        <f t="shared" si="3"/>
        <v>#DIV/0!</v>
      </c>
    </row>
    <row r="30" spans="3:19" ht="20.100000000000001" customHeight="1">
      <c r="C30" s="193"/>
      <c r="D30" s="194"/>
      <c r="E30" s="195"/>
      <c r="F30" s="195"/>
      <c r="G30" s="195"/>
      <c r="H30" s="97" t="str">
        <f t="shared" si="1"/>
        <v/>
      </c>
      <c r="I30" s="17">
        <v>44.3</v>
      </c>
      <c r="J30" s="17">
        <v>23.011882352941175</v>
      </c>
      <c r="K30" s="196"/>
      <c r="L30" s="197"/>
      <c r="M30" s="8" t="str">
        <f t="shared" si="0"/>
        <v>SIM</v>
      </c>
      <c r="N30" s="106" t="e">
        <f>VLOOKUP(H30,#REF!,8,FALSE)</f>
        <v>#REF!</v>
      </c>
      <c r="O30" s="197"/>
      <c r="P30" s="97"/>
      <c r="Q30" s="198"/>
      <c r="R30" s="106">
        <f t="shared" si="2"/>
        <v>0</v>
      </c>
      <c r="S30" s="123" t="e">
        <f t="shared" si="3"/>
        <v>#DIV/0!</v>
      </c>
    </row>
    <row r="31" spans="3:19" ht="20.100000000000001" customHeight="1">
      <c r="C31" s="193"/>
      <c r="D31" s="194"/>
      <c r="E31" s="195"/>
      <c r="F31" s="195"/>
      <c r="G31" s="195"/>
      <c r="H31" s="97" t="str">
        <f t="shared" si="1"/>
        <v/>
      </c>
      <c r="I31" s="17">
        <v>85</v>
      </c>
      <c r="J31" s="17">
        <v>42.5</v>
      </c>
      <c r="K31" s="196"/>
      <c r="L31" s="197"/>
      <c r="M31" s="8" t="str">
        <f t="shared" si="0"/>
        <v>SIM</v>
      </c>
      <c r="N31" s="106" t="e">
        <f>VLOOKUP(H31,#REF!,8,FALSE)</f>
        <v>#REF!</v>
      </c>
      <c r="O31" s="197"/>
      <c r="P31" s="97"/>
      <c r="Q31" s="198"/>
      <c r="R31" s="106">
        <f t="shared" si="2"/>
        <v>0</v>
      </c>
      <c r="S31" s="123" t="e">
        <f t="shared" si="3"/>
        <v>#DIV/0!</v>
      </c>
    </row>
    <row r="32" spans="3:19" ht="20.100000000000001" customHeight="1">
      <c r="C32" s="193"/>
      <c r="D32" s="194"/>
      <c r="E32" s="195"/>
      <c r="F32" s="195"/>
      <c r="G32" s="195"/>
      <c r="H32" s="97" t="str">
        <f t="shared" si="1"/>
        <v/>
      </c>
      <c r="I32" s="17">
        <v>85</v>
      </c>
      <c r="J32" s="17">
        <v>42.5</v>
      </c>
      <c r="K32" s="196"/>
      <c r="L32" s="197"/>
      <c r="M32" s="8" t="str">
        <f t="shared" si="0"/>
        <v>SIM</v>
      </c>
      <c r="N32" s="106" t="e">
        <f>VLOOKUP(H32,#REF!,8,FALSE)</f>
        <v>#REF!</v>
      </c>
      <c r="O32" s="197"/>
      <c r="P32" s="97"/>
      <c r="Q32" s="198"/>
      <c r="R32" s="106">
        <f t="shared" si="2"/>
        <v>0</v>
      </c>
      <c r="S32" s="123" t="e">
        <f t="shared" si="3"/>
        <v>#DIV/0!</v>
      </c>
    </row>
    <row r="33" spans="3:19" ht="20.100000000000001" customHeight="1">
      <c r="C33" s="193"/>
      <c r="D33" s="194"/>
      <c r="E33" s="195"/>
      <c r="F33" s="195"/>
      <c r="G33" s="195"/>
      <c r="H33" s="97" t="str">
        <f t="shared" si="1"/>
        <v/>
      </c>
      <c r="I33" s="17">
        <v>44.3</v>
      </c>
      <c r="J33" s="17">
        <v>23.011882352941175</v>
      </c>
      <c r="K33" s="196"/>
      <c r="L33" s="197"/>
      <c r="M33" s="8" t="str">
        <f t="shared" si="0"/>
        <v>SIM</v>
      </c>
      <c r="N33" s="106" t="e">
        <f>VLOOKUP(H33,#REF!,8,FALSE)</f>
        <v>#REF!</v>
      </c>
      <c r="O33" s="197"/>
      <c r="P33" s="97"/>
      <c r="Q33" s="198"/>
      <c r="R33" s="106">
        <f t="shared" si="2"/>
        <v>0</v>
      </c>
      <c r="S33" s="123" t="e">
        <f t="shared" si="3"/>
        <v>#DIV/0!</v>
      </c>
    </row>
    <row r="34" spans="3:19" ht="20.100000000000001" customHeight="1">
      <c r="C34" s="193"/>
      <c r="D34" s="194"/>
      <c r="E34" s="195"/>
      <c r="F34" s="195"/>
      <c r="G34" s="195"/>
      <c r="H34" s="97" t="str">
        <f t="shared" si="1"/>
        <v/>
      </c>
      <c r="I34" s="17">
        <v>85</v>
      </c>
      <c r="J34" s="17">
        <v>42.5</v>
      </c>
      <c r="K34" s="196"/>
      <c r="L34" s="197"/>
      <c r="M34" s="8" t="str">
        <f t="shared" si="0"/>
        <v>SIM</v>
      </c>
      <c r="N34" s="106" t="e">
        <f>VLOOKUP(H34,#REF!,8,FALSE)</f>
        <v>#REF!</v>
      </c>
      <c r="O34" s="197"/>
      <c r="P34" s="97"/>
      <c r="Q34" s="198"/>
      <c r="R34" s="106">
        <f t="shared" si="2"/>
        <v>0</v>
      </c>
      <c r="S34" s="123" t="e">
        <f t="shared" si="3"/>
        <v>#DIV/0!</v>
      </c>
    </row>
    <row r="35" spans="3:19" ht="20.100000000000001" customHeight="1">
      <c r="C35" s="193"/>
      <c r="D35" s="194"/>
      <c r="E35" s="195"/>
      <c r="F35" s="195"/>
      <c r="G35" s="195"/>
      <c r="H35" s="97" t="str">
        <f t="shared" si="1"/>
        <v/>
      </c>
      <c r="I35" s="17">
        <v>85</v>
      </c>
      <c r="J35" s="17">
        <v>42.5</v>
      </c>
      <c r="K35" s="196"/>
      <c r="L35" s="197"/>
      <c r="M35" s="8" t="str">
        <f t="shared" si="0"/>
        <v>SIM</v>
      </c>
      <c r="N35" s="106" t="e">
        <f>VLOOKUP(H35,#REF!,8,FALSE)</f>
        <v>#REF!</v>
      </c>
      <c r="O35" s="197"/>
      <c r="P35" s="97"/>
      <c r="Q35" s="198"/>
      <c r="R35" s="106">
        <f t="shared" si="2"/>
        <v>0</v>
      </c>
      <c r="S35" s="123" t="e">
        <f t="shared" si="3"/>
        <v>#DIV/0!</v>
      </c>
    </row>
    <row r="36" spans="3:19" ht="20.100000000000001" customHeight="1">
      <c r="C36" s="193"/>
      <c r="D36" s="194"/>
      <c r="E36" s="195"/>
      <c r="F36" s="195"/>
      <c r="G36" s="195"/>
      <c r="H36" s="97" t="str">
        <f t="shared" si="1"/>
        <v/>
      </c>
      <c r="I36" s="17">
        <v>85</v>
      </c>
      <c r="J36" s="17">
        <v>42.5</v>
      </c>
      <c r="K36" s="196"/>
      <c r="L36" s="197"/>
      <c r="M36" s="8" t="str">
        <f t="shared" si="0"/>
        <v>SIM</v>
      </c>
      <c r="N36" s="106" t="e">
        <f>VLOOKUP(H36,#REF!,8,FALSE)</f>
        <v>#REF!</v>
      </c>
      <c r="O36" s="197"/>
      <c r="P36" s="97"/>
      <c r="Q36" s="198"/>
      <c r="R36" s="106">
        <f t="shared" si="2"/>
        <v>0</v>
      </c>
      <c r="S36" s="123" t="e">
        <f t="shared" si="3"/>
        <v>#DIV/0!</v>
      </c>
    </row>
    <row r="37" spans="3:19" ht="20.100000000000001" customHeight="1">
      <c r="C37" s="193"/>
      <c r="D37" s="194"/>
      <c r="E37" s="195"/>
      <c r="F37" s="195"/>
      <c r="G37" s="195"/>
      <c r="H37" s="97" t="str">
        <f t="shared" si="1"/>
        <v/>
      </c>
      <c r="I37" s="17">
        <v>85</v>
      </c>
      <c r="J37" s="17">
        <v>42.5</v>
      </c>
      <c r="K37" s="196"/>
      <c r="L37" s="197"/>
      <c r="M37" s="8" t="str">
        <f t="shared" si="0"/>
        <v>SIM</v>
      </c>
      <c r="N37" s="106" t="e">
        <f>VLOOKUP(H37,#REF!,8,FALSE)</f>
        <v>#REF!</v>
      </c>
      <c r="O37" s="197"/>
      <c r="P37" s="97"/>
      <c r="Q37" s="198"/>
      <c r="R37" s="106">
        <f t="shared" si="2"/>
        <v>0</v>
      </c>
      <c r="S37" s="123" t="e">
        <f t="shared" si="3"/>
        <v>#DIV/0!</v>
      </c>
    </row>
    <row r="38" spans="3:19" ht="20.100000000000001" customHeight="1">
      <c r="C38" s="193"/>
      <c r="D38" s="194"/>
      <c r="E38" s="195"/>
      <c r="F38" s="195"/>
      <c r="G38" s="195"/>
      <c r="H38" s="97" t="str">
        <f t="shared" si="1"/>
        <v/>
      </c>
      <c r="I38" s="17">
        <v>85</v>
      </c>
      <c r="J38" s="17">
        <v>42.5</v>
      </c>
      <c r="K38" s="196"/>
      <c r="L38" s="197"/>
      <c r="M38" s="8" t="str">
        <f t="shared" si="0"/>
        <v>SIM</v>
      </c>
      <c r="N38" s="106" t="e">
        <f>VLOOKUP(H38,#REF!,8,FALSE)</f>
        <v>#REF!</v>
      </c>
      <c r="O38" s="197"/>
      <c r="P38" s="97"/>
      <c r="Q38" s="198"/>
      <c r="R38" s="106">
        <f t="shared" si="2"/>
        <v>0</v>
      </c>
      <c r="S38" s="123" t="e">
        <f t="shared" si="3"/>
        <v>#DIV/0!</v>
      </c>
    </row>
    <row r="39" spans="3:19" ht="20.100000000000001" customHeight="1">
      <c r="C39" s="193"/>
      <c r="D39" s="194"/>
      <c r="E39" s="195"/>
      <c r="F39" s="195"/>
      <c r="G39" s="195"/>
      <c r="H39" s="97" t="str">
        <f t="shared" si="1"/>
        <v/>
      </c>
      <c r="I39" s="17">
        <v>38</v>
      </c>
      <c r="J39" s="17">
        <v>59.488235294117644</v>
      </c>
      <c r="K39" s="196"/>
      <c r="L39" s="197"/>
      <c r="M39" s="8" t="str">
        <f t="shared" ref="M39:M58" si="4">IF(L39&gt;=100,"NÃO","SIM")</f>
        <v>SIM</v>
      </c>
      <c r="N39" s="106" t="e">
        <f>VLOOKUP(H39,#REF!,8,FALSE)</f>
        <v>#REF!</v>
      </c>
      <c r="O39" s="197"/>
      <c r="P39" s="97"/>
      <c r="Q39" s="198"/>
      <c r="R39" s="106">
        <f t="shared" si="2"/>
        <v>0</v>
      </c>
      <c r="S39" s="123" t="e">
        <f t="shared" si="3"/>
        <v>#DIV/0!</v>
      </c>
    </row>
    <row r="40" spans="3:19" ht="20.100000000000001" customHeight="1">
      <c r="C40" s="193"/>
      <c r="D40" s="194"/>
      <c r="E40" s="195"/>
      <c r="F40" s="195"/>
      <c r="G40" s="195"/>
      <c r="H40" s="97" t="str">
        <f t="shared" si="1"/>
        <v/>
      </c>
      <c r="I40" s="17">
        <v>44.3</v>
      </c>
      <c r="J40" s="17">
        <v>38</v>
      </c>
      <c r="K40" s="196"/>
      <c r="L40" s="197"/>
      <c r="M40" s="8" t="str">
        <f t="shared" si="4"/>
        <v>SIM</v>
      </c>
      <c r="N40" s="106" t="e">
        <f>VLOOKUP(H40,#REF!,8,FALSE)</f>
        <v>#REF!</v>
      </c>
      <c r="O40" s="197"/>
      <c r="P40" s="97"/>
      <c r="Q40" s="198"/>
      <c r="R40" s="106">
        <f t="shared" si="2"/>
        <v>0</v>
      </c>
      <c r="S40" s="123" t="e">
        <f t="shared" si="3"/>
        <v>#DIV/0!</v>
      </c>
    </row>
    <row r="41" spans="3:19" ht="20.100000000000001" customHeight="1">
      <c r="C41" s="193"/>
      <c r="D41" s="194"/>
      <c r="E41" s="195"/>
      <c r="F41" s="195"/>
      <c r="G41" s="195"/>
      <c r="H41" s="97" t="str">
        <f t="shared" si="1"/>
        <v/>
      </c>
      <c r="I41" s="17">
        <v>85</v>
      </c>
      <c r="J41" s="17">
        <v>38</v>
      </c>
      <c r="K41" s="196"/>
      <c r="L41" s="197"/>
      <c r="M41" s="8" t="str">
        <f t="shared" si="4"/>
        <v>SIM</v>
      </c>
      <c r="N41" s="106" t="e">
        <f>VLOOKUP(H41,#REF!,8,FALSE)</f>
        <v>#REF!</v>
      </c>
      <c r="O41" s="197"/>
      <c r="P41" s="97"/>
      <c r="Q41" s="198"/>
      <c r="R41" s="106">
        <f t="shared" si="2"/>
        <v>0</v>
      </c>
      <c r="S41" s="123" t="e">
        <f t="shared" si="3"/>
        <v>#DIV/0!</v>
      </c>
    </row>
    <row r="42" spans="3:19" ht="20.100000000000001" customHeight="1">
      <c r="C42" s="193"/>
      <c r="D42" s="194"/>
      <c r="E42" s="195"/>
      <c r="F42" s="195"/>
      <c r="G42" s="195"/>
      <c r="H42" s="97" t="str">
        <f t="shared" si="1"/>
        <v/>
      </c>
      <c r="I42" s="17">
        <v>85</v>
      </c>
      <c r="J42" s="17">
        <v>38</v>
      </c>
      <c r="K42" s="196"/>
      <c r="L42" s="197"/>
      <c r="M42" s="8" t="str">
        <f t="shared" si="4"/>
        <v>SIM</v>
      </c>
      <c r="N42" s="106" t="e">
        <f>VLOOKUP(H42,#REF!,8,FALSE)</f>
        <v>#REF!</v>
      </c>
      <c r="O42" s="197"/>
      <c r="P42" s="97"/>
      <c r="Q42" s="198"/>
      <c r="R42" s="106">
        <f t="shared" si="2"/>
        <v>0</v>
      </c>
      <c r="S42" s="123" t="e">
        <f t="shared" si="3"/>
        <v>#DIV/0!</v>
      </c>
    </row>
    <row r="43" spans="3:19" ht="20.100000000000001" customHeight="1">
      <c r="C43" s="193"/>
      <c r="D43" s="194"/>
      <c r="E43" s="195"/>
      <c r="F43" s="195"/>
      <c r="G43" s="195"/>
      <c r="H43" s="97" t="str">
        <f t="shared" si="1"/>
        <v/>
      </c>
      <c r="I43" s="17">
        <v>85</v>
      </c>
      <c r="J43" s="17">
        <v>38</v>
      </c>
      <c r="K43" s="196"/>
      <c r="L43" s="197"/>
      <c r="M43" s="8" t="str">
        <f t="shared" si="4"/>
        <v>SIM</v>
      </c>
      <c r="N43" s="106" t="e">
        <f>VLOOKUP(H43,#REF!,8,FALSE)</f>
        <v>#REF!</v>
      </c>
      <c r="O43" s="197"/>
      <c r="P43" s="97"/>
      <c r="Q43" s="198"/>
      <c r="R43" s="106">
        <f t="shared" si="2"/>
        <v>0</v>
      </c>
      <c r="S43" s="123" t="e">
        <f t="shared" si="3"/>
        <v>#DIV/0!</v>
      </c>
    </row>
    <row r="44" spans="3:19" ht="20.100000000000001" customHeight="1">
      <c r="C44" s="193"/>
      <c r="D44" s="194"/>
      <c r="E44" s="195"/>
      <c r="F44" s="195"/>
      <c r="G44" s="195"/>
      <c r="H44" s="97" t="str">
        <f t="shared" si="1"/>
        <v/>
      </c>
      <c r="I44" s="17">
        <v>85</v>
      </c>
      <c r="J44" s="17">
        <v>38</v>
      </c>
      <c r="K44" s="196"/>
      <c r="L44" s="197"/>
      <c r="M44" s="8" t="str">
        <f t="shared" si="4"/>
        <v>SIM</v>
      </c>
      <c r="N44" s="106" t="e">
        <f>VLOOKUP(H44,#REF!,8,FALSE)</f>
        <v>#REF!</v>
      </c>
      <c r="O44" s="197"/>
      <c r="P44" s="97"/>
      <c r="Q44" s="198"/>
      <c r="R44" s="106">
        <f t="shared" si="2"/>
        <v>0</v>
      </c>
      <c r="S44" s="123" t="e">
        <f t="shared" si="3"/>
        <v>#DIV/0!</v>
      </c>
    </row>
    <row r="45" spans="3:19" ht="20.100000000000001" customHeight="1">
      <c r="C45" s="193"/>
      <c r="D45" s="194"/>
      <c r="E45" s="195"/>
      <c r="F45" s="195"/>
      <c r="G45" s="195"/>
      <c r="H45" s="97" t="str">
        <f t="shared" si="1"/>
        <v/>
      </c>
      <c r="I45" s="17">
        <v>44.3</v>
      </c>
      <c r="J45" s="17">
        <v>23.011882352941175</v>
      </c>
      <c r="K45" s="196"/>
      <c r="L45" s="197"/>
      <c r="M45" s="8" t="str">
        <f t="shared" si="4"/>
        <v>SIM</v>
      </c>
      <c r="N45" s="106" t="e">
        <f>VLOOKUP(H45,#REF!,8,FALSE)</f>
        <v>#REF!</v>
      </c>
      <c r="O45" s="197"/>
      <c r="P45" s="97"/>
      <c r="Q45" s="198"/>
      <c r="R45" s="106">
        <f t="shared" si="2"/>
        <v>0</v>
      </c>
      <c r="S45" s="123" t="e">
        <f t="shared" si="3"/>
        <v>#DIV/0!</v>
      </c>
    </row>
    <row r="46" spans="3:19" ht="20.100000000000001" customHeight="1">
      <c r="C46" s="193"/>
      <c r="D46" s="194"/>
      <c r="E46" s="195"/>
      <c r="F46" s="195"/>
      <c r="G46" s="195"/>
      <c r="H46" s="97" t="str">
        <f t="shared" si="1"/>
        <v/>
      </c>
      <c r="I46" s="17">
        <v>85</v>
      </c>
      <c r="J46" s="17">
        <v>42.5</v>
      </c>
      <c r="K46" s="196"/>
      <c r="L46" s="197"/>
      <c r="M46" s="8" t="str">
        <f t="shared" si="4"/>
        <v>SIM</v>
      </c>
      <c r="N46" s="106" t="e">
        <f>VLOOKUP(H46,#REF!,8,FALSE)</f>
        <v>#REF!</v>
      </c>
      <c r="O46" s="197"/>
      <c r="P46" s="97"/>
      <c r="Q46" s="198"/>
      <c r="R46" s="106">
        <f t="shared" si="2"/>
        <v>0</v>
      </c>
      <c r="S46" s="123" t="e">
        <f t="shared" si="3"/>
        <v>#DIV/0!</v>
      </c>
    </row>
    <row r="47" spans="3:19" ht="20.100000000000001" customHeight="1">
      <c r="C47" s="193"/>
      <c r="D47" s="194"/>
      <c r="E47" s="195"/>
      <c r="F47" s="195"/>
      <c r="G47" s="195"/>
      <c r="H47" s="97" t="str">
        <f t="shared" si="1"/>
        <v/>
      </c>
      <c r="I47" s="17">
        <v>44.3</v>
      </c>
      <c r="J47" s="17">
        <v>23.011882352941175</v>
      </c>
      <c r="K47" s="196"/>
      <c r="L47" s="197"/>
      <c r="M47" s="8" t="str">
        <f t="shared" si="4"/>
        <v>SIM</v>
      </c>
      <c r="N47" s="106" t="e">
        <f>VLOOKUP(H47,#REF!,8,FALSE)</f>
        <v>#REF!</v>
      </c>
      <c r="O47" s="197"/>
      <c r="P47" s="97"/>
      <c r="Q47" s="198"/>
      <c r="R47" s="106">
        <f t="shared" si="2"/>
        <v>0</v>
      </c>
      <c r="S47" s="123" t="e">
        <f t="shared" si="3"/>
        <v>#DIV/0!</v>
      </c>
    </row>
    <row r="48" spans="3:19" ht="20.100000000000001" customHeight="1">
      <c r="C48" s="193"/>
      <c r="D48" s="194"/>
      <c r="E48" s="195"/>
      <c r="F48" s="195"/>
      <c r="G48" s="195"/>
      <c r="H48" s="97" t="str">
        <f t="shared" si="1"/>
        <v/>
      </c>
      <c r="I48" s="17">
        <v>38</v>
      </c>
      <c r="J48" s="17">
        <v>59.488235294117644</v>
      </c>
      <c r="K48" s="196"/>
      <c r="L48" s="197"/>
      <c r="M48" s="8" t="str">
        <f t="shared" si="4"/>
        <v>SIM</v>
      </c>
      <c r="N48" s="106" t="e">
        <f>VLOOKUP(H48,#REF!,8,FALSE)</f>
        <v>#REF!</v>
      </c>
      <c r="O48" s="197"/>
      <c r="P48" s="97"/>
      <c r="Q48" s="198"/>
      <c r="R48" s="106">
        <f t="shared" si="2"/>
        <v>0</v>
      </c>
      <c r="S48" s="123" t="e">
        <f t="shared" si="3"/>
        <v>#DIV/0!</v>
      </c>
    </row>
    <row r="49" spans="3:19" ht="20.100000000000001" customHeight="1">
      <c r="C49" s="193"/>
      <c r="D49" s="194"/>
      <c r="E49" s="195"/>
      <c r="F49" s="195"/>
      <c r="G49" s="195"/>
      <c r="H49" s="97" t="str">
        <f t="shared" si="1"/>
        <v/>
      </c>
      <c r="I49" s="17">
        <v>85</v>
      </c>
      <c r="J49" s="17">
        <v>42.5</v>
      </c>
      <c r="K49" s="196"/>
      <c r="L49" s="197"/>
      <c r="M49" s="8" t="str">
        <f t="shared" si="4"/>
        <v>SIM</v>
      </c>
      <c r="N49" s="106" t="e">
        <f>VLOOKUP(H49,#REF!,8,FALSE)</f>
        <v>#REF!</v>
      </c>
      <c r="O49" s="197"/>
      <c r="P49" s="97"/>
      <c r="Q49" s="198"/>
      <c r="R49" s="106">
        <f t="shared" si="2"/>
        <v>0</v>
      </c>
      <c r="S49" s="123" t="e">
        <f t="shared" si="3"/>
        <v>#DIV/0!</v>
      </c>
    </row>
    <row r="50" spans="3:19" ht="20.100000000000001" customHeight="1">
      <c r="C50" s="193"/>
      <c r="D50" s="194"/>
      <c r="E50" s="195"/>
      <c r="F50" s="195"/>
      <c r="G50" s="195"/>
      <c r="H50" s="97" t="str">
        <f t="shared" si="1"/>
        <v/>
      </c>
      <c r="I50" s="17">
        <v>85</v>
      </c>
      <c r="J50" s="17">
        <v>42.5</v>
      </c>
      <c r="K50" s="196"/>
      <c r="L50" s="197"/>
      <c r="M50" s="8" t="str">
        <f t="shared" si="4"/>
        <v>SIM</v>
      </c>
      <c r="N50" s="106" t="e">
        <f>VLOOKUP(H50,#REF!,8,FALSE)</f>
        <v>#REF!</v>
      </c>
      <c r="O50" s="197"/>
      <c r="P50" s="97"/>
      <c r="Q50" s="198"/>
      <c r="R50" s="106">
        <f t="shared" si="2"/>
        <v>0</v>
      </c>
      <c r="S50" s="123" t="e">
        <f t="shared" si="3"/>
        <v>#DIV/0!</v>
      </c>
    </row>
    <row r="51" spans="3:19" ht="20.100000000000001" customHeight="1">
      <c r="C51" s="193"/>
      <c r="D51" s="194"/>
      <c r="E51" s="195"/>
      <c r="F51" s="195"/>
      <c r="G51" s="195"/>
      <c r="H51" s="97" t="str">
        <f t="shared" si="1"/>
        <v/>
      </c>
      <c r="I51" s="17">
        <v>38</v>
      </c>
      <c r="J51" s="17">
        <v>59.488235294117644</v>
      </c>
      <c r="K51" s="196"/>
      <c r="L51" s="197"/>
      <c r="M51" s="8" t="str">
        <f t="shared" si="4"/>
        <v>SIM</v>
      </c>
      <c r="N51" s="106" t="e">
        <f>VLOOKUP(H51,#REF!,8,FALSE)</f>
        <v>#REF!</v>
      </c>
      <c r="O51" s="197"/>
      <c r="P51" s="97"/>
      <c r="Q51" s="198"/>
      <c r="R51" s="106">
        <f t="shared" si="2"/>
        <v>0</v>
      </c>
      <c r="S51" s="123" t="e">
        <f t="shared" si="3"/>
        <v>#DIV/0!</v>
      </c>
    </row>
    <row r="52" spans="3:19" ht="20.100000000000001" customHeight="1">
      <c r="C52" s="193"/>
      <c r="D52" s="194"/>
      <c r="E52" s="195"/>
      <c r="F52" s="195"/>
      <c r="G52" s="195"/>
      <c r="H52" s="97" t="str">
        <f t="shared" si="1"/>
        <v/>
      </c>
      <c r="I52" s="17">
        <v>38</v>
      </c>
      <c r="J52" s="17">
        <v>59.488235294117644</v>
      </c>
      <c r="K52" s="196"/>
      <c r="L52" s="197"/>
      <c r="M52" s="8" t="str">
        <f t="shared" si="4"/>
        <v>SIM</v>
      </c>
      <c r="N52" s="106" t="e">
        <f>VLOOKUP(H52,#REF!,8,FALSE)</f>
        <v>#REF!</v>
      </c>
      <c r="O52" s="197"/>
      <c r="P52" s="97"/>
      <c r="Q52" s="198"/>
      <c r="R52" s="106">
        <f t="shared" si="2"/>
        <v>0</v>
      </c>
      <c r="S52" s="123" t="e">
        <f t="shared" si="3"/>
        <v>#DIV/0!</v>
      </c>
    </row>
    <row r="53" spans="3:19" ht="20.100000000000001" customHeight="1">
      <c r="C53" s="193"/>
      <c r="D53" s="194"/>
      <c r="E53" s="195"/>
      <c r="F53" s="195"/>
      <c r="G53" s="195"/>
      <c r="H53" s="97" t="str">
        <f t="shared" si="1"/>
        <v/>
      </c>
      <c r="I53" s="17">
        <v>38</v>
      </c>
      <c r="J53" s="17">
        <v>59.488235294117644</v>
      </c>
      <c r="K53" s="196"/>
      <c r="L53" s="197"/>
      <c r="M53" s="8" t="str">
        <f t="shared" si="4"/>
        <v>SIM</v>
      </c>
      <c r="N53" s="106" t="e">
        <f>VLOOKUP(H53,#REF!,8,FALSE)</f>
        <v>#REF!</v>
      </c>
      <c r="O53" s="197"/>
      <c r="P53" s="97"/>
      <c r="Q53" s="198"/>
      <c r="R53" s="106">
        <f t="shared" si="2"/>
        <v>0</v>
      </c>
      <c r="S53" s="123" t="e">
        <f t="shared" si="3"/>
        <v>#DIV/0!</v>
      </c>
    </row>
    <row r="54" spans="3:19" ht="20.100000000000001" customHeight="1">
      <c r="C54" s="193"/>
      <c r="D54" s="194"/>
      <c r="E54" s="195"/>
      <c r="F54" s="195"/>
      <c r="G54" s="195"/>
      <c r="H54" s="97" t="str">
        <f t="shared" si="1"/>
        <v/>
      </c>
      <c r="I54" s="17">
        <v>44.3</v>
      </c>
      <c r="J54" s="17">
        <v>38</v>
      </c>
      <c r="K54" s="196"/>
      <c r="L54" s="197"/>
      <c r="M54" s="8" t="str">
        <f t="shared" si="4"/>
        <v>SIM</v>
      </c>
      <c r="N54" s="106" t="e">
        <f>VLOOKUP(H54,#REF!,8,FALSE)</f>
        <v>#REF!</v>
      </c>
      <c r="O54" s="197"/>
      <c r="P54" s="97"/>
      <c r="Q54" s="198"/>
      <c r="R54" s="106">
        <f t="shared" si="2"/>
        <v>0</v>
      </c>
      <c r="S54" s="123" t="e">
        <f t="shared" si="3"/>
        <v>#DIV/0!</v>
      </c>
    </row>
    <row r="55" spans="3:19" ht="20.100000000000001" customHeight="1">
      <c r="C55" s="193"/>
      <c r="D55" s="194"/>
      <c r="E55" s="195"/>
      <c r="F55" s="195"/>
      <c r="G55" s="195"/>
      <c r="H55" s="97" t="str">
        <f t="shared" si="1"/>
        <v/>
      </c>
      <c r="I55" s="17">
        <v>85</v>
      </c>
      <c r="J55" s="17">
        <v>38</v>
      </c>
      <c r="K55" s="196"/>
      <c r="L55" s="197"/>
      <c r="M55" s="8" t="str">
        <f t="shared" si="4"/>
        <v>SIM</v>
      </c>
      <c r="N55" s="106" t="e">
        <f>VLOOKUP(H55,#REF!,8,FALSE)</f>
        <v>#REF!</v>
      </c>
      <c r="O55" s="197"/>
      <c r="P55" s="97"/>
      <c r="Q55" s="198"/>
      <c r="R55" s="106">
        <f t="shared" si="2"/>
        <v>0</v>
      </c>
      <c r="S55" s="123" t="e">
        <f t="shared" si="3"/>
        <v>#DIV/0!</v>
      </c>
    </row>
    <row r="56" spans="3:19" ht="20.100000000000001" customHeight="1">
      <c r="C56" s="193"/>
      <c r="D56" s="194"/>
      <c r="E56" s="195"/>
      <c r="F56" s="195"/>
      <c r="G56" s="195"/>
      <c r="H56" s="97" t="str">
        <f t="shared" si="1"/>
        <v/>
      </c>
      <c r="I56" s="17">
        <v>85</v>
      </c>
      <c r="J56" s="17">
        <v>38</v>
      </c>
      <c r="K56" s="196"/>
      <c r="L56" s="197"/>
      <c r="M56" s="8" t="str">
        <f t="shared" si="4"/>
        <v>SIM</v>
      </c>
      <c r="N56" s="106" t="e">
        <f>VLOOKUP(H56,#REF!,8,FALSE)</f>
        <v>#REF!</v>
      </c>
      <c r="O56" s="197"/>
      <c r="P56" s="97"/>
      <c r="Q56" s="198"/>
      <c r="R56" s="106">
        <f t="shared" si="2"/>
        <v>0</v>
      </c>
      <c r="S56" s="123" t="e">
        <f t="shared" si="3"/>
        <v>#DIV/0!</v>
      </c>
    </row>
    <row r="57" spans="3:19" ht="20.100000000000001" customHeight="1">
      <c r="C57" s="193"/>
      <c r="D57" s="194"/>
      <c r="E57" s="195"/>
      <c r="F57" s="195"/>
      <c r="G57" s="195"/>
      <c r="H57" s="97" t="str">
        <f t="shared" si="1"/>
        <v/>
      </c>
      <c r="I57" s="17">
        <v>85</v>
      </c>
      <c r="J57" s="17">
        <v>38</v>
      </c>
      <c r="K57" s="196"/>
      <c r="L57" s="197"/>
      <c r="M57" s="8" t="str">
        <f t="shared" si="4"/>
        <v>SIM</v>
      </c>
      <c r="N57" s="106" t="e">
        <f>VLOOKUP(H57,#REF!,8,FALSE)</f>
        <v>#REF!</v>
      </c>
      <c r="O57" s="197"/>
      <c r="P57" s="97"/>
      <c r="Q57" s="198"/>
      <c r="R57" s="106">
        <f t="shared" si="2"/>
        <v>0</v>
      </c>
      <c r="S57" s="123" t="e">
        <f t="shared" si="3"/>
        <v>#DIV/0!</v>
      </c>
    </row>
    <row r="58" spans="3:19" ht="20.100000000000001" customHeight="1">
      <c r="C58" s="193"/>
      <c r="D58" s="194"/>
      <c r="E58" s="195"/>
      <c r="F58" s="195"/>
      <c r="G58" s="195"/>
      <c r="H58" s="97" t="str">
        <f t="shared" si="1"/>
        <v/>
      </c>
      <c r="I58" s="17">
        <v>85</v>
      </c>
      <c r="J58" s="17">
        <v>38</v>
      </c>
      <c r="K58" s="196"/>
      <c r="L58" s="197"/>
      <c r="M58" s="8" t="str">
        <f t="shared" si="4"/>
        <v>SIM</v>
      </c>
      <c r="N58" s="106" t="e">
        <f>VLOOKUP(H58,#REF!,8,FALSE)</f>
        <v>#REF!</v>
      </c>
      <c r="O58" s="197"/>
      <c r="P58" s="97"/>
      <c r="Q58" s="198"/>
      <c r="R58" s="106">
        <f t="shared" si="2"/>
        <v>0</v>
      </c>
      <c r="S58" s="123" t="e">
        <f t="shared" si="3"/>
        <v>#DIV/0!</v>
      </c>
    </row>
    <row r="59" spans="3:19" ht="20.100000000000001" customHeight="1" thickBot="1">
      <c r="C59" s="98"/>
      <c r="D59" s="99"/>
      <c r="E59" s="100"/>
      <c r="F59" s="100"/>
      <c r="G59" s="100"/>
      <c r="H59" s="101"/>
      <c r="I59" s="107"/>
      <c r="J59" s="107"/>
      <c r="K59" s="107"/>
      <c r="L59" s="102"/>
      <c r="M59" s="102"/>
      <c r="N59" s="102"/>
      <c r="O59" s="102"/>
      <c r="P59" s="102"/>
      <c r="Q59" s="102"/>
      <c r="R59" s="102"/>
      <c r="S59" s="103"/>
    </row>
    <row r="60" spans="3:19" ht="20.100000000000001" customHeight="1" thickTop="1"/>
    <row r="61" spans="3:19" ht="20.100000000000001" customHeight="1"/>
    <row r="72" spans="12:13">
      <c r="L72" s="105"/>
      <c r="M72" s="105"/>
    </row>
    <row r="73" spans="12:13">
      <c r="L73" s="105"/>
      <c r="M73" s="105"/>
    </row>
    <row r="74" spans="12:13">
      <c r="L74" s="105"/>
      <c r="M74" s="105"/>
    </row>
    <row r="75" spans="12:13">
      <c r="L75" s="105"/>
      <c r="M75" s="105"/>
    </row>
    <row r="76" spans="12:13">
      <c r="L76" s="105"/>
      <c r="M76" s="105"/>
    </row>
    <row r="77" spans="12:13">
      <c r="L77" s="105"/>
      <c r="M77" s="105"/>
    </row>
    <row r="78" spans="12:13">
      <c r="L78" s="105"/>
      <c r="M78" s="105"/>
    </row>
    <row r="79" spans="12:13">
      <c r="L79" s="105"/>
      <c r="M79" s="105"/>
    </row>
    <row r="80" spans="12:13">
      <c r="L80" s="105"/>
      <c r="M80" s="105"/>
    </row>
    <row r="81" spans="12:13">
      <c r="L81" s="105"/>
      <c r="M81" s="105"/>
    </row>
    <row r="82" spans="12:13">
      <c r="L82" s="105"/>
      <c r="M82" s="105"/>
    </row>
    <row r="83" spans="12:13">
      <c r="L83" s="105"/>
      <c r="M83" s="105"/>
    </row>
    <row r="84" spans="12:13">
      <c r="L84" s="105"/>
      <c r="M84" s="105"/>
    </row>
    <row r="85" spans="12:13">
      <c r="L85" s="105"/>
      <c r="M85" s="105"/>
    </row>
  </sheetData>
  <sortState ref="E82:G133">
    <sortCondition ref="E82"/>
  </sortState>
  <mergeCells count="18">
    <mergeCell ref="K4:K5"/>
    <mergeCell ref="L4:L5"/>
    <mergeCell ref="M4:M5"/>
    <mergeCell ref="N4:N5"/>
    <mergeCell ref="C6:S6"/>
    <mergeCell ref="C3:S3"/>
    <mergeCell ref="P4:P5"/>
    <mergeCell ref="Q4:Q5"/>
    <mergeCell ref="R4:R5"/>
    <mergeCell ref="S4:S5"/>
    <mergeCell ref="C4:C5"/>
    <mergeCell ref="D4:D5"/>
    <mergeCell ref="E4:E5"/>
    <mergeCell ref="F4:F5"/>
    <mergeCell ref="G4:G5"/>
    <mergeCell ref="I4:I5"/>
    <mergeCell ref="O4:O5"/>
    <mergeCell ref="J4:J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>
    <tabColor theme="6" tint="0.39997558519241921"/>
    <pageSetUpPr fitToPage="1"/>
  </sheetPr>
  <dimension ref="B1:Y86"/>
  <sheetViews>
    <sheetView view="pageBreakPreview" zoomScale="85" zoomScaleNormal="60" zoomScaleSheetLayoutView="85" workbookViewId="0">
      <selection activeCell="C20" sqref="C20"/>
    </sheetView>
  </sheetViews>
  <sheetFormatPr defaultRowHeight="15.75"/>
  <cols>
    <col min="1" max="1" width="2.7109375" style="7" customWidth="1"/>
    <col min="2" max="2" width="23.28515625" style="7" customWidth="1"/>
    <col min="3" max="3" width="86" style="7" customWidth="1"/>
    <col min="4" max="4" width="32.140625" style="7" bestFit="1" customWidth="1"/>
    <col min="5" max="5" width="18.85546875" style="7" bestFit="1" customWidth="1"/>
    <col min="6" max="6" width="7.5703125" style="7" bestFit="1" customWidth="1"/>
    <col min="7" max="7" width="12.85546875" style="7" bestFit="1" customWidth="1"/>
    <col min="8" max="8" width="7" style="7" bestFit="1" customWidth="1"/>
    <col min="9" max="9" width="15.140625" style="7" bestFit="1" customWidth="1"/>
    <col min="10" max="10" width="19.28515625" style="7" customWidth="1"/>
    <col min="11" max="11" width="17.7109375" style="7" customWidth="1"/>
    <col min="12" max="12" width="47.85546875" style="91" hidden="1" customWidth="1"/>
    <col min="13" max="13" width="10.28515625" style="15" bestFit="1" customWidth="1"/>
    <col min="14" max="14" width="10.28515625" style="124" customWidth="1"/>
    <col min="15" max="15" width="19" style="18" bestFit="1" customWidth="1"/>
    <col min="16" max="16" width="2.7109375" style="7" customWidth="1"/>
    <col min="17" max="17" width="9.140625" style="16"/>
    <col min="18" max="18" width="10.5703125" style="7" bestFit="1" customWidth="1"/>
    <col min="19" max="16384" width="9.140625" style="7"/>
  </cols>
  <sheetData>
    <row r="1" spans="2:25" ht="16.5" thickBot="1">
      <c r="R1" s="5"/>
      <c r="S1" s="5"/>
      <c r="T1" s="5"/>
      <c r="U1" s="5"/>
      <c r="V1" s="5"/>
      <c r="W1" s="5"/>
      <c r="X1" s="5"/>
      <c r="Y1" s="5"/>
    </row>
    <row r="2" spans="2:25" ht="18.75" thickTop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3"/>
      <c r="M2" s="182"/>
      <c r="N2" s="183"/>
      <c r="O2" s="184"/>
    </row>
    <row r="3" spans="2:25" ht="18">
      <c r="B3" s="134" t="s">
        <v>121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6"/>
    </row>
    <row r="4" spans="2:25" ht="16.5" thickBot="1">
      <c r="B4" s="23"/>
      <c r="N4" s="125"/>
      <c r="O4" s="24"/>
    </row>
    <row r="5" spans="2:25" ht="14.25" customHeight="1">
      <c r="B5" s="207"/>
      <c r="C5" s="208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10"/>
    </row>
    <row r="6" spans="2:25">
      <c r="B6" s="179" t="s">
        <v>0</v>
      </c>
      <c r="C6" s="168" t="s">
        <v>1</v>
      </c>
      <c r="D6" s="168" t="s">
        <v>4</v>
      </c>
      <c r="E6" s="48" t="s">
        <v>34</v>
      </c>
      <c r="F6" s="168" t="s">
        <v>2</v>
      </c>
      <c r="G6" s="170" t="s">
        <v>35</v>
      </c>
      <c r="H6" s="171"/>
      <c r="I6" s="48" t="s">
        <v>36</v>
      </c>
      <c r="J6" s="172" t="s">
        <v>37</v>
      </c>
      <c r="K6" s="173"/>
      <c r="L6" s="174" t="s">
        <v>76</v>
      </c>
      <c r="M6" s="48" t="s">
        <v>5</v>
      </c>
      <c r="N6" s="166" t="s">
        <v>26</v>
      </c>
      <c r="O6" s="49" t="s">
        <v>38</v>
      </c>
    </row>
    <row r="7" spans="2:25" ht="16.5" thickBot="1">
      <c r="B7" s="180"/>
      <c r="C7" s="169"/>
      <c r="D7" s="169"/>
      <c r="E7" s="50" t="s">
        <v>3</v>
      </c>
      <c r="F7" s="169"/>
      <c r="G7" s="51" t="s">
        <v>39</v>
      </c>
      <c r="H7" s="51" t="s">
        <v>40</v>
      </c>
      <c r="I7" s="50" t="s">
        <v>41</v>
      </c>
      <c r="J7" s="50" t="s">
        <v>42</v>
      </c>
      <c r="K7" s="50" t="s">
        <v>43</v>
      </c>
      <c r="L7" s="175"/>
      <c r="M7" s="50" t="s">
        <v>6</v>
      </c>
      <c r="N7" s="167"/>
      <c r="O7" s="52" t="s">
        <v>44</v>
      </c>
    </row>
    <row r="8" spans="2:25" ht="16.5" thickTop="1">
      <c r="B8" s="199"/>
      <c r="C8" s="200"/>
      <c r="D8" s="201"/>
      <c r="E8" s="202"/>
      <c r="F8" s="92"/>
      <c r="G8" s="203"/>
      <c r="H8" s="22" t="str">
        <f t="shared" ref="H8" si="0">"t/"&amp;F8</f>
        <v>t/</v>
      </c>
      <c r="I8" s="21">
        <f t="shared" ref="I8" si="1">G8*E8</f>
        <v>0</v>
      </c>
      <c r="J8" s="92"/>
      <c r="K8" s="92"/>
      <c r="L8" s="92"/>
      <c r="M8" s="205"/>
      <c r="N8" s="206"/>
      <c r="O8" s="27">
        <f>TRUNC(I8*M8*N8,3)</f>
        <v>0</v>
      </c>
    </row>
    <row r="9" spans="2:25">
      <c r="B9" s="199"/>
      <c r="C9" s="200"/>
      <c r="D9" s="201"/>
      <c r="E9" s="202"/>
      <c r="F9" s="92"/>
      <c r="G9" s="203"/>
      <c r="H9" s="22" t="str">
        <f t="shared" ref="H9:H10" si="2">"t/"&amp;F9</f>
        <v>t/</v>
      </c>
      <c r="I9" s="21">
        <f t="shared" ref="I9:I10" si="3">G9*E9</f>
        <v>0</v>
      </c>
      <c r="J9" s="92"/>
      <c r="K9" s="92"/>
      <c r="L9" s="92"/>
      <c r="M9" s="205"/>
      <c r="N9" s="206"/>
      <c r="O9" s="27">
        <f t="shared" ref="O9:O66" si="4">TRUNC(I9*M9*N9,3)</f>
        <v>0</v>
      </c>
    </row>
    <row r="10" spans="2:25">
      <c r="B10" s="199"/>
      <c r="C10" s="200"/>
      <c r="D10" s="201"/>
      <c r="E10" s="202"/>
      <c r="F10" s="92"/>
      <c r="G10" s="203"/>
      <c r="H10" s="22" t="str">
        <f t="shared" si="2"/>
        <v>t/</v>
      </c>
      <c r="I10" s="21">
        <f t="shared" si="3"/>
        <v>0</v>
      </c>
      <c r="J10" s="92"/>
      <c r="K10" s="92"/>
      <c r="L10" s="92"/>
      <c r="M10" s="205"/>
      <c r="N10" s="206"/>
      <c r="O10" s="27">
        <f t="shared" si="4"/>
        <v>0</v>
      </c>
    </row>
    <row r="11" spans="2:25">
      <c r="B11" s="199"/>
      <c r="C11" s="200"/>
      <c r="D11" s="201"/>
      <c r="E11" s="202"/>
      <c r="F11" s="92"/>
      <c r="G11" s="203"/>
      <c r="H11" s="22" t="str">
        <f t="shared" ref="H11:H14" si="5">"t/"&amp;F11</f>
        <v>t/</v>
      </c>
      <c r="I11" s="21">
        <f t="shared" ref="I11:I14" si="6">G11*E11</f>
        <v>0</v>
      </c>
      <c r="J11" s="92"/>
      <c r="K11" s="92"/>
      <c r="L11" s="92"/>
      <c r="M11" s="205"/>
      <c r="N11" s="206"/>
      <c r="O11" s="27">
        <f t="shared" si="4"/>
        <v>0</v>
      </c>
    </row>
    <row r="12" spans="2:25">
      <c r="B12" s="199"/>
      <c r="C12" s="200"/>
      <c r="D12" s="201"/>
      <c r="E12" s="202"/>
      <c r="F12" s="92"/>
      <c r="G12" s="203"/>
      <c r="H12" s="22" t="str">
        <f t="shared" si="5"/>
        <v>t/</v>
      </c>
      <c r="I12" s="21">
        <f t="shared" si="6"/>
        <v>0</v>
      </c>
      <c r="J12" s="92"/>
      <c r="K12" s="92"/>
      <c r="L12" s="92"/>
      <c r="M12" s="205"/>
      <c r="N12" s="206"/>
      <c r="O12" s="27">
        <f t="shared" si="4"/>
        <v>0</v>
      </c>
    </row>
    <row r="13" spans="2:25">
      <c r="B13" s="199"/>
      <c r="C13" s="200"/>
      <c r="D13" s="201"/>
      <c r="E13" s="202"/>
      <c r="F13" s="92"/>
      <c r="G13" s="203"/>
      <c r="H13" s="22" t="str">
        <f t="shared" si="5"/>
        <v>t/</v>
      </c>
      <c r="I13" s="21">
        <f t="shared" si="6"/>
        <v>0</v>
      </c>
      <c r="J13" s="92"/>
      <c r="K13" s="92"/>
      <c r="L13" s="92"/>
      <c r="M13" s="205"/>
      <c r="N13" s="206"/>
      <c r="O13" s="27">
        <f t="shared" si="4"/>
        <v>0</v>
      </c>
    </row>
    <row r="14" spans="2:25">
      <c r="B14" s="199"/>
      <c r="C14" s="200"/>
      <c r="D14" s="201"/>
      <c r="E14" s="202"/>
      <c r="F14" s="92"/>
      <c r="G14" s="203"/>
      <c r="H14" s="22" t="str">
        <f t="shared" si="5"/>
        <v>t/</v>
      </c>
      <c r="I14" s="21">
        <f t="shared" si="6"/>
        <v>0</v>
      </c>
      <c r="J14" s="92"/>
      <c r="K14" s="92"/>
      <c r="L14" s="92"/>
      <c r="M14" s="205"/>
      <c r="N14" s="206"/>
      <c r="O14" s="27">
        <f t="shared" si="4"/>
        <v>0</v>
      </c>
    </row>
    <row r="15" spans="2:25">
      <c r="B15" s="199"/>
      <c r="C15" s="200"/>
      <c r="D15" s="201"/>
      <c r="E15" s="202"/>
      <c r="F15" s="92"/>
      <c r="G15" s="203"/>
      <c r="H15" s="22" t="str">
        <f t="shared" ref="H15:H19" si="7">"t/"&amp;F15</f>
        <v>t/</v>
      </c>
      <c r="I15" s="21">
        <f t="shared" ref="I15:I19" si="8">G15*E15</f>
        <v>0</v>
      </c>
      <c r="J15" s="92"/>
      <c r="K15" s="92"/>
      <c r="L15" s="92"/>
      <c r="M15" s="205"/>
      <c r="N15" s="206"/>
      <c r="O15" s="27">
        <f t="shared" si="4"/>
        <v>0</v>
      </c>
    </row>
    <row r="16" spans="2:25">
      <c r="B16" s="199"/>
      <c r="C16" s="200"/>
      <c r="D16" s="201"/>
      <c r="E16" s="202"/>
      <c r="F16" s="92"/>
      <c r="G16" s="203"/>
      <c r="H16" s="22" t="str">
        <f t="shared" ref="H16" si="9">"t/"&amp;F16</f>
        <v>t/</v>
      </c>
      <c r="I16" s="21">
        <f t="shared" ref="I16" si="10">G16*E16</f>
        <v>0</v>
      </c>
      <c r="J16" s="92"/>
      <c r="K16" s="92"/>
      <c r="L16" s="92"/>
      <c r="M16" s="205"/>
      <c r="N16" s="206"/>
      <c r="O16" s="27">
        <f t="shared" si="4"/>
        <v>0</v>
      </c>
    </row>
    <row r="17" spans="2:15">
      <c r="B17" s="199"/>
      <c r="C17" s="200"/>
      <c r="D17" s="201"/>
      <c r="E17" s="202"/>
      <c r="F17" s="92"/>
      <c r="G17" s="203"/>
      <c r="H17" s="22" t="str">
        <f t="shared" si="7"/>
        <v>t/</v>
      </c>
      <c r="I17" s="21">
        <f t="shared" si="8"/>
        <v>0</v>
      </c>
      <c r="J17" s="92"/>
      <c r="K17" s="92"/>
      <c r="L17" s="92"/>
      <c r="M17" s="205"/>
      <c r="N17" s="206"/>
      <c r="O17" s="27">
        <f t="shared" si="4"/>
        <v>0</v>
      </c>
    </row>
    <row r="18" spans="2:15">
      <c r="B18" s="199"/>
      <c r="C18" s="200"/>
      <c r="D18" s="201"/>
      <c r="E18" s="202"/>
      <c r="F18" s="92"/>
      <c r="G18" s="203"/>
      <c r="H18" s="22" t="str">
        <f t="shared" si="7"/>
        <v>t/</v>
      </c>
      <c r="I18" s="21">
        <f t="shared" si="8"/>
        <v>0</v>
      </c>
      <c r="J18" s="92"/>
      <c r="K18" s="92"/>
      <c r="L18" s="92"/>
      <c r="M18" s="205"/>
      <c r="N18" s="206"/>
      <c r="O18" s="27">
        <f t="shared" si="4"/>
        <v>0</v>
      </c>
    </row>
    <row r="19" spans="2:15">
      <c r="B19" s="199"/>
      <c r="C19" s="200"/>
      <c r="D19" s="201"/>
      <c r="E19" s="202"/>
      <c r="F19" s="92"/>
      <c r="G19" s="203"/>
      <c r="H19" s="22" t="str">
        <f t="shared" si="7"/>
        <v>t/</v>
      </c>
      <c r="I19" s="21">
        <f t="shared" si="8"/>
        <v>0</v>
      </c>
      <c r="J19" s="92"/>
      <c r="K19" s="92"/>
      <c r="L19" s="92"/>
      <c r="M19" s="205"/>
      <c r="N19" s="206"/>
      <c r="O19" s="27">
        <f t="shared" si="4"/>
        <v>0</v>
      </c>
    </row>
    <row r="20" spans="2:15">
      <c r="B20" s="199"/>
      <c r="C20" s="200"/>
      <c r="D20" s="201"/>
      <c r="E20" s="202"/>
      <c r="F20" s="92"/>
      <c r="G20" s="203"/>
      <c r="H20" s="22" t="str">
        <f t="shared" ref="H20:H21" si="11">"t/"&amp;F20</f>
        <v>t/</v>
      </c>
      <c r="I20" s="21">
        <f t="shared" ref="I20:I21" si="12">G20*E20</f>
        <v>0</v>
      </c>
      <c r="J20" s="92"/>
      <c r="K20" s="92"/>
      <c r="L20" s="92"/>
      <c r="M20" s="205"/>
      <c r="N20" s="206"/>
      <c r="O20" s="27">
        <f t="shared" si="4"/>
        <v>0</v>
      </c>
    </row>
    <row r="21" spans="2:15">
      <c r="B21" s="199"/>
      <c r="C21" s="200"/>
      <c r="D21" s="201"/>
      <c r="E21" s="202"/>
      <c r="F21" s="92"/>
      <c r="G21" s="203"/>
      <c r="H21" s="22" t="str">
        <f t="shared" si="11"/>
        <v>t/</v>
      </c>
      <c r="I21" s="21">
        <f t="shared" si="12"/>
        <v>0</v>
      </c>
      <c r="J21" s="92"/>
      <c r="K21" s="92"/>
      <c r="L21" s="92"/>
      <c r="M21" s="205"/>
      <c r="N21" s="206"/>
      <c r="O21" s="27">
        <f t="shared" si="4"/>
        <v>0</v>
      </c>
    </row>
    <row r="22" spans="2:15">
      <c r="B22" s="199"/>
      <c r="C22" s="200"/>
      <c r="D22" s="201"/>
      <c r="E22" s="202"/>
      <c r="F22" s="92"/>
      <c r="G22" s="203"/>
      <c r="H22" s="22" t="str">
        <f t="shared" ref="H22" si="13">"t/"&amp;F22</f>
        <v>t/</v>
      </c>
      <c r="I22" s="21">
        <f t="shared" ref="I22" si="14">G22*E22</f>
        <v>0</v>
      </c>
      <c r="J22" s="92"/>
      <c r="K22" s="92"/>
      <c r="L22" s="92"/>
      <c r="M22" s="205"/>
      <c r="N22" s="206"/>
      <c r="O22" s="27">
        <f t="shared" si="4"/>
        <v>0</v>
      </c>
    </row>
    <row r="23" spans="2:15">
      <c r="B23" s="199"/>
      <c r="C23" s="200"/>
      <c r="D23" s="92"/>
      <c r="E23" s="202"/>
      <c r="F23" s="92"/>
      <c r="G23" s="203"/>
      <c r="H23" s="22" t="str">
        <f t="shared" ref="H23:H30" si="15">"t/"&amp;F23</f>
        <v>t/</v>
      </c>
      <c r="I23" s="21">
        <f t="shared" ref="I23:I30" si="16">G23*E23</f>
        <v>0</v>
      </c>
      <c r="J23" s="92"/>
      <c r="K23" s="92"/>
      <c r="L23" s="92"/>
      <c r="M23" s="205"/>
      <c r="N23" s="206"/>
      <c r="O23" s="27">
        <f t="shared" si="4"/>
        <v>0</v>
      </c>
    </row>
    <row r="24" spans="2:15">
      <c r="B24" s="199"/>
      <c r="C24" s="200"/>
      <c r="D24" s="201"/>
      <c r="E24" s="202"/>
      <c r="F24" s="92"/>
      <c r="G24" s="203"/>
      <c r="H24" s="22" t="str">
        <f t="shared" ref="H24" si="17">"t/"&amp;F24</f>
        <v>t/</v>
      </c>
      <c r="I24" s="21">
        <f t="shared" ref="I24" si="18">G24*E24</f>
        <v>0</v>
      </c>
      <c r="J24" s="92"/>
      <c r="K24" s="92"/>
      <c r="L24" s="92"/>
      <c r="M24" s="205"/>
      <c r="N24" s="206"/>
      <c r="O24" s="27">
        <f t="shared" si="4"/>
        <v>0</v>
      </c>
    </row>
    <row r="25" spans="2:15">
      <c r="B25" s="199"/>
      <c r="C25" s="200"/>
      <c r="D25" s="201"/>
      <c r="E25" s="202"/>
      <c r="F25" s="92"/>
      <c r="G25" s="203"/>
      <c r="H25" s="22" t="str">
        <f t="shared" si="15"/>
        <v>t/</v>
      </c>
      <c r="I25" s="21">
        <f t="shared" si="16"/>
        <v>0</v>
      </c>
      <c r="J25" s="92"/>
      <c r="K25" s="92"/>
      <c r="L25" s="92"/>
      <c r="M25" s="205"/>
      <c r="N25" s="206"/>
      <c r="O25" s="27">
        <f t="shared" si="4"/>
        <v>0</v>
      </c>
    </row>
    <row r="26" spans="2:15">
      <c r="B26" s="199"/>
      <c r="C26" s="200"/>
      <c r="D26" s="201"/>
      <c r="E26" s="202"/>
      <c r="F26" s="92"/>
      <c r="G26" s="203"/>
      <c r="H26" s="22" t="str">
        <f t="shared" si="15"/>
        <v>t/</v>
      </c>
      <c r="I26" s="21">
        <f t="shared" si="16"/>
        <v>0</v>
      </c>
      <c r="J26" s="92"/>
      <c r="K26" s="92"/>
      <c r="L26" s="92"/>
      <c r="M26" s="205"/>
      <c r="N26" s="206"/>
      <c r="O26" s="27">
        <f t="shared" si="4"/>
        <v>0</v>
      </c>
    </row>
    <row r="27" spans="2:15">
      <c r="B27" s="199"/>
      <c r="C27" s="200"/>
      <c r="D27" s="201"/>
      <c r="E27" s="202"/>
      <c r="F27" s="92"/>
      <c r="G27" s="203"/>
      <c r="H27" s="22" t="str">
        <f>"t/"&amp;F27</f>
        <v>t/</v>
      </c>
      <c r="I27" s="21">
        <f>G27*E27</f>
        <v>0</v>
      </c>
      <c r="J27" s="92"/>
      <c r="K27" s="92"/>
      <c r="L27" s="92"/>
      <c r="M27" s="205"/>
      <c r="N27" s="206"/>
      <c r="O27" s="27">
        <f t="shared" si="4"/>
        <v>0</v>
      </c>
    </row>
    <row r="28" spans="2:15">
      <c r="B28" s="199"/>
      <c r="C28" s="200"/>
      <c r="D28" s="92"/>
      <c r="E28" s="202"/>
      <c r="F28" s="92"/>
      <c r="G28" s="203"/>
      <c r="H28" s="22" t="str">
        <f t="shared" si="15"/>
        <v>t/</v>
      </c>
      <c r="I28" s="21">
        <f t="shared" si="16"/>
        <v>0</v>
      </c>
      <c r="J28" s="92"/>
      <c r="K28" s="92"/>
      <c r="L28" s="92"/>
      <c r="M28" s="205"/>
      <c r="N28" s="206"/>
      <c r="O28" s="27">
        <f t="shared" si="4"/>
        <v>0</v>
      </c>
    </row>
    <row r="29" spans="2:15">
      <c r="B29" s="204"/>
      <c r="C29" s="200"/>
      <c r="D29" s="201"/>
      <c r="E29" s="202"/>
      <c r="F29" s="92"/>
      <c r="G29" s="203"/>
      <c r="H29" s="22" t="str">
        <f t="shared" ref="H29" si="19">"t/"&amp;F29</f>
        <v>t/</v>
      </c>
      <c r="I29" s="21">
        <f t="shared" ref="I29" si="20">G29*E29</f>
        <v>0</v>
      </c>
      <c r="J29" s="92"/>
      <c r="K29" s="92"/>
      <c r="L29" s="92"/>
      <c r="M29" s="205"/>
      <c r="N29" s="206"/>
      <c r="O29" s="27">
        <f t="shared" si="4"/>
        <v>0</v>
      </c>
    </row>
    <row r="30" spans="2:15">
      <c r="B30" s="204"/>
      <c r="C30" s="200"/>
      <c r="D30" s="201"/>
      <c r="E30" s="202"/>
      <c r="F30" s="92"/>
      <c r="G30" s="203"/>
      <c r="H30" s="22" t="str">
        <f t="shared" si="15"/>
        <v>t/</v>
      </c>
      <c r="I30" s="21">
        <f t="shared" si="16"/>
        <v>0</v>
      </c>
      <c r="J30" s="92"/>
      <c r="K30" s="92"/>
      <c r="L30" s="92"/>
      <c r="M30" s="205"/>
      <c r="N30" s="206"/>
      <c r="O30" s="27">
        <f t="shared" si="4"/>
        <v>0</v>
      </c>
    </row>
    <row r="31" spans="2:15">
      <c r="B31" s="199"/>
      <c r="C31" s="200"/>
      <c r="D31" s="201"/>
      <c r="E31" s="202"/>
      <c r="F31" s="92"/>
      <c r="G31" s="203"/>
      <c r="H31" s="22" t="str">
        <f>"t/"&amp;F31</f>
        <v>t/</v>
      </c>
      <c r="I31" s="21">
        <f>G31*E31</f>
        <v>0</v>
      </c>
      <c r="J31" s="92"/>
      <c r="K31" s="92"/>
      <c r="L31" s="92"/>
      <c r="M31" s="205"/>
      <c r="N31" s="206"/>
      <c r="O31" s="27">
        <f t="shared" si="4"/>
        <v>0</v>
      </c>
    </row>
    <row r="32" spans="2:15">
      <c r="B32" s="199"/>
      <c r="C32" s="200"/>
      <c r="D32" s="201"/>
      <c r="E32" s="202"/>
      <c r="F32" s="92"/>
      <c r="G32" s="203"/>
      <c r="H32" s="22" t="str">
        <f>"t/"&amp;F32</f>
        <v>t/</v>
      </c>
      <c r="I32" s="21">
        <f>G32*E32</f>
        <v>0</v>
      </c>
      <c r="J32" s="92"/>
      <c r="K32" s="92"/>
      <c r="L32" s="92"/>
      <c r="M32" s="205"/>
      <c r="N32" s="206"/>
      <c r="O32" s="27">
        <f t="shared" si="4"/>
        <v>0</v>
      </c>
    </row>
    <row r="33" spans="2:15">
      <c r="B33" s="199"/>
      <c r="C33" s="200"/>
      <c r="D33" s="201"/>
      <c r="E33" s="202"/>
      <c r="F33" s="92"/>
      <c r="G33" s="203"/>
      <c r="H33" s="22" t="str">
        <f>"t/"&amp;F33</f>
        <v>t/</v>
      </c>
      <c r="I33" s="21">
        <f>G33*E33</f>
        <v>0</v>
      </c>
      <c r="J33" s="92"/>
      <c r="K33" s="92"/>
      <c r="L33" s="92"/>
      <c r="M33" s="205"/>
      <c r="N33" s="206"/>
      <c r="O33" s="27">
        <f t="shared" si="4"/>
        <v>0</v>
      </c>
    </row>
    <row r="34" spans="2:15">
      <c r="B34" s="204"/>
      <c r="C34" s="200"/>
      <c r="D34" s="201"/>
      <c r="E34" s="202"/>
      <c r="F34" s="92"/>
      <c r="G34" s="203"/>
      <c r="H34" s="22" t="str">
        <f>"t/"&amp;F34</f>
        <v>t/</v>
      </c>
      <c r="I34" s="21">
        <f>G34*E34</f>
        <v>0</v>
      </c>
      <c r="J34" s="92"/>
      <c r="K34" s="92"/>
      <c r="L34" s="92"/>
      <c r="M34" s="205"/>
      <c r="N34" s="206"/>
      <c r="O34" s="27">
        <f t="shared" si="4"/>
        <v>0</v>
      </c>
    </row>
    <row r="35" spans="2:15">
      <c r="B35" s="204"/>
      <c r="C35" s="200"/>
      <c r="D35" s="201"/>
      <c r="E35" s="202"/>
      <c r="F35" s="92"/>
      <c r="G35" s="203"/>
      <c r="H35" s="22" t="str">
        <f t="shared" ref="H35:H36" si="21">"t/"&amp;F35</f>
        <v>t/</v>
      </c>
      <c r="I35" s="21">
        <f t="shared" ref="I35:I36" si="22">G35*E35</f>
        <v>0</v>
      </c>
      <c r="J35" s="92"/>
      <c r="K35" s="92"/>
      <c r="L35" s="92"/>
      <c r="M35" s="205"/>
      <c r="N35" s="206"/>
      <c r="O35" s="27">
        <f t="shared" si="4"/>
        <v>0</v>
      </c>
    </row>
    <row r="36" spans="2:15">
      <c r="B36" s="204"/>
      <c r="C36" s="200"/>
      <c r="D36" s="201"/>
      <c r="E36" s="202"/>
      <c r="F36" s="92"/>
      <c r="G36" s="203"/>
      <c r="H36" s="22" t="str">
        <f t="shared" si="21"/>
        <v>t/</v>
      </c>
      <c r="I36" s="21">
        <f t="shared" si="22"/>
        <v>0</v>
      </c>
      <c r="J36" s="92"/>
      <c r="K36" s="92"/>
      <c r="L36" s="92"/>
      <c r="M36" s="205"/>
      <c r="N36" s="206"/>
      <c r="O36" s="27">
        <f t="shared" si="4"/>
        <v>0</v>
      </c>
    </row>
    <row r="37" spans="2:15">
      <c r="B37" s="204"/>
      <c r="C37" s="200"/>
      <c r="D37" s="201"/>
      <c r="E37" s="202"/>
      <c r="F37" s="92"/>
      <c r="G37" s="203"/>
      <c r="H37" s="22" t="str">
        <f>"t/"&amp;F37</f>
        <v>t/</v>
      </c>
      <c r="I37" s="21">
        <f>G37*E37</f>
        <v>0</v>
      </c>
      <c r="J37" s="92"/>
      <c r="K37" s="92"/>
      <c r="L37" s="92"/>
      <c r="M37" s="205"/>
      <c r="N37" s="206"/>
      <c r="O37" s="27">
        <f t="shared" si="4"/>
        <v>0</v>
      </c>
    </row>
    <row r="38" spans="2:15">
      <c r="B38" s="204"/>
      <c r="C38" s="200"/>
      <c r="D38" s="201"/>
      <c r="E38" s="202"/>
      <c r="F38" s="92"/>
      <c r="G38" s="203"/>
      <c r="H38" s="22" t="str">
        <f t="shared" ref="H38:H39" si="23">"t/"&amp;F38</f>
        <v>t/</v>
      </c>
      <c r="I38" s="21">
        <f t="shared" ref="I38:I39" si="24">G38*E38</f>
        <v>0</v>
      </c>
      <c r="J38" s="92"/>
      <c r="K38" s="92"/>
      <c r="L38" s="92"/>
      <c r="M38" s="205"/>
      <c r="N38" s="206"/>
      <c r="O38" s="27">
        <f t="shared" si="4"/>
        <v>0</v>
      </c>
    </row>
    <row r="39" spans="2:15">
      <c r="B39" s="204"/>
      <c r="C39" s="200"/>
      <c r="D39" s="201"/>
      <c r="E39" s="202"/>
      <c r="F39" s="92"/>
      <c r="G39" s="203"/>
      <c r="H39" s="22" t="str">
        <f t="shared" si="23"/>
        <v>t/</v>
      </c>
      <c r="I39" s="21">
        <f t="shared" si="24"/>
        <v>0</v>
      </c>
      <c r="J39" s="92"/>
      <c r="K39" s="92"/>
      <c r="L39" s="92"/>
      <c r="M39" s="205"/>
      <c r="N39" s="206"/>
      <c r="O39" s="27">
        <f t="shared" si="4"/>
        <v>0</v>
      </c>
    </row>
    <row r="40" spans="2:15">
      <c r="B40" s="204"/>
      <c r="C40" s="200"/>
      <c r="D40" s="201"/>
      <c r="E40" s="202"/>
      <c r="F40" s="92"/>
      <c r="G40" s="203"/>
      <c r="H40" s="22" t="str">
        <f>"t/"&amp;F40</f>
        <v>t/</v>
      </c>
      <c r="I40" s="21">
        <f>G40*E40</f>
        <v>0</v>
      </c>
      <c r="J40" s="92"/>
      <c r="K40" s="92"/>
      <c r="L40" s="92"/>
      <c r="M40" s="205"/>
      <c r="N40" s="206"/>
      <c r="O40" s="27">
        <f t="shared" si="4"/>
        <v>0</v>
      </c>
    </row>
    <row r="41" spans="2:15">
      <c r="B41" s="199"/>
      <c r="C41" s="200"/>
      <c r="D41" s="201"/>
      <c r="E41" s="202"/>
      <c r="F41" s="92"/>
      <c r="G41" s="203"/>
      <c r="H41" s="22" t="str">
        <f>"t/"&amp;F41</f>
        <v>t/</v>
      </c>
      <c r="I41" s="21">
        <f>G41*E41</f>
        <v>0</v>
      </c>
      <c r="J41" s="92"/>
      <c r="K41" s="92"/>
      <c r="L41" s="92"/>
      <c r="M41" s="205"/>
      <c r="N41" s="206"/>
      <c r="O41" s="27">
        <f t="shared" si="4"/>
        <v>0</v>
      </c>
    </row>
    <row r="42" spans="2:15">
      <c r="B42" s="199"/>
      <c r="C42" s="200"/>
      <c r="D42" s="92"/>
      <c r="E42" s="202"/>
      <c r="F42" s="92"/>
      <c r="G42" s="203"/>
      <c r="H42" s="22" t="str">
        <f t="shared" ref="H42" si="25">"t/"&amp;F42</f>
        <v>t/</v>
      </c>
      <c r="I42" s="21">
        <f t="shared" ref="I42" si="26">G42*E42</f>
        <v>0</v>
      </c>
      <c r="J42" s="92"/>
      <c r="K42" s="92"/>
      <c r="L42" s="92"/>
      <c r="M42" s="205"/>
      <c r="N42" s="206"/>
      <c r="O42" s="27">
        <f t="shared" si="4"/>
        <v>0</v>
      </c>
    </row>
    <row r="43" spans="2:15">
      <c r="B43" s="199"/>
      <c r="C43" s="200"/>
      <c r="D43" s="201"/>
      <c r="E43" s="202"/>
      <c r="F43" s="92"/>
      <c r="G43" s="203"/>
      <c r="H43" s="22" t="str">
        <f>"t/"&amp;F43</f>
        <v>t/</v>
      </c>
      <c r="I43" s="21">
        <f>G43*E43</f>
        <v>0</v>
      </c>
      <c r="J43" s="92"/>
      <c r="K43" s="92"/>
      <c r="L43" s="92"/>
      <c r="M43" s="205"/>
      <c r="N43" s="206"/>
      <c r="O43" s="27">
        <f t="shared" si="4"/>
        <v>0</v>
      </c>
    </row>
    <row r="44" spans="2:15">
      <c r="B44" s="199"/>
      <c r="C44" s="200"/>
      <c r="D44" s="201"/>
      <c r="E44" s="202"/>
      <c r="F44" s="92"/>
      <c r="G44" s="203"/>
      <c r="H44" s="22" t="str">
        <f>"t/"&amp;F44</f>
        <v>t/</v>
      </c>
      <c r="I44" s="21">
        <f>G44*E44</f>
        <v>0</v>
      </c>
      <c r="J44" s="92"/>
      <c r="K44" s="92"/>
      <c r="L44" s="92"/>
      <c r="M44" s="205"/>
      <c r="N44" s="206"/>
      <c r="O44" s="27">
        <f t="shared" si="4"/>
        <v>0</v>
      </c>
    </row>
    <row r="45" spans="2:15">
      <c r="B45" s="199"/>
      <c r="C45" s="200"/>
      <c r="D45" s="201"/>
      <c r="E45" s="202"/>
      <c r="F45" s="92"/>
      <c r="G45" s="203"/>
      <c r="H45" s="22" t="str">
        <f t="shared" ref="H45:H47" si="27">"t/"&amp;F45</f>
        <v>t/</v>
      </c>
      <c r="I45" s="21">
        <f t="shared" ref="I45:I47" si="28">G45*E45</f>
        <v>0</v>
      </c>
      <c r="J45" s="92"/>
      <c r="K45" s="92"/>
      <c r="L45" s="92"/>
      <c r="M45" s="205"/>
      <c r="N45" s="206"/>
      <c r="O45" s="27">
        <f t="shared" si="4"/>
        <v>0</v>
      </c>
    </row>
    <row r="46" spans="2:15">
      <c r="B46" s="199"/>
      <c r="C46" s="200"/>
      <c r="D46" s="201"/>
      <c r="E46" s="202"/>
      <c r="F46" s="92"/>
      <c r="G46" s="203"/>
      <c r="H46" s="22" t="str">
        <f t="shared" si="27"/>
        <v>t/</v>
      </c>
      <c r="I46" s="21">
        <f t="shared" si="28"/>
        <v>0</v>
      </c>
      <c r="J46" s="92"/>
      <c r="K46" s="92"/>
      <c r="L46" s="92"/>
      <c r="M46" s="205"/>
      <c r="N46" s="206"/>
      <c r="O46" s="27">
        <f t="shared" si="4"/>
        <v>0</v>
      </c>
    </row>
    <row r="47" spans="2:15">
      <c r="B47" s="199"/>
      <c r="C47" s="200"/>
      <c r="D47" s="201"/>
      <c r="E47" s="202"/>
      <c r="F47" s="92"/>
      <c r="G47" s="203"/>
      <c r="H47" s="22" t="str">
        <f t="shared" si="27"/>
        <v>t/</v>
      </c>
      <c r="I47" s="21">
        <f t="shared" si="28"/>
        <v>0</v>
      </c>
      <c r="J47" s="92"/>
      <c r="K47" s="92"/>
      <c r="L47" s="92"/>
      <c r="M47" s="205"/>
      <c r="N47" s="206"/>
      <c r="O47" s="27">
        <f t="shared" si="4"/>
        <v>0</v>
      </c>
    </row>
    <row r="48" spans="2:15">
      <c r="B48" s="199"/>
      <c r="C48" s="200"/>
      <c r="D48" s="201"/>
      <c r="E48" s="202"/>
      <c r="F48" s="92"/>
      <c r="G48" s="203"/>
      <c r="H48" s="22" t="str">
        <f>"t/"&amp;F48</f>
        <v>t/</v>
      </c>
      <c r="I48" s="21">
        <f>G48*E48</f>
        <v>0</v>
      </c>
      <c r="J48" s="92"/>
      <c r="K48" s="92"/>
      <c r="L48" s="92"/>
      <c r="M48" s="205"/>
      <c r="N48" s="206"/>
      <c r="O48" s="27">
        <f t="shared" si="4"/>
        <v>0</v>
      </c>
    </row>
    <row r="49" spans="2:15">
      <c r="B49" s="204"/>
      <c r="C49" s="200"/>
      <c r="D49" s="201"/>
      <c r="E49" s="202"/>
      <c r="F49" s="92"/>
      <c r="G49" s="203"/>
      <c r="H49" s="47" t="s">
        <v>31</v>
      </c>
      <c r="I49" s="21">
        <f t="shared" ref="I49:I60" si="29">G49*E49</f>
        <v>0</v>
      </c>
      <c r="J49" s="92"/>
      <c r="K49" s="92"/>
      <c r="L49" s="92"/>
      <c r="M49" s="205"/>
      <c r="N49" s="206"/>
      <c r="O49" s="27">
        <f t="shared" si="4"/>
        <v>0</v>
      </c>
    </row>
    <row r="50" spans="2:15">
      <c r="B50" s="204"/>
      <c r="C50" s="200"/>
      <c r="D50" s="201"/>
      <c r="E50" s="202"/>
      <c r="F50" s="92"/>
      <c r="G50" s="203"/>
      <c r="H50" s="47" t="s">
        <v>31</v>
      </c>
      <c r="I50" s="21">
        <f t="shared" ref="I50:I52" si="30">G50*E50</f>
        <v>0</v>
      </c>
      <c r="J50" s="92"/>
      <c r="K50" s="92"/>
      <c r="L50" s="92"/>
      <c r="M50" s="205"/>
      <c r="N50" s="206"/>
      <c r="O50" s="27">
        <f t="shared" si="4"/>
        <v>0</v>
      </c>
    </row>
    <row r="51" spans="2:15">
      <c r="B51" s="204"/>
      <c r="C51" s="200"/>
      <c r="D51" s="201"/>
      <c r="E51" s="202"/>
      <c r="F51" s="92"/>
      <c r="G51" s="203"/>
      <c r="H51" s="47" t="s">
        <v>31</v>
      </c>
      <c r="I51" s="21">
        <f t="shared" si="30"/>
        <v>0</v>
      </c>
      <c r="J51" s="92"/>
      <c r="K51" s="92"/>
      <c r="L51" s="92"/>
      <c r="M51" s="205"/>
      <c r="N51" s="206"/>
      <c r="O51" s="27">
        <f t="shared" si="4"/>
        <v>0</v>
      </c>
    </row>
    <row r="52" spans="2:15">
      <c r="B52" s="204"/>
      <c r="C52" s="200"/>
      <c r="D52" s="201"/>
      <c r="E52" s="202"/>
      <c r="F52" s="92"/>
      <c r="G52" s="203"/>
      <c r="H52" s="47" t="s">
        <v>31</v>
      </c>
      <c r="I52" s="21">
        <f t="shared" si="30"/>
        <v>0</v>
      </c>
      <c r="J52" s="92"/>
      <c r="K52" s="92"/>
      <c r="L52" s="92"/>
      <c r="M52" s="205"/>
      <c r="N52" s="206"/>
      <c r="O52" s="27">
        <f t="shared" si="4"/>
        <v>0</v>
      </c>
    </row>
    <row r="53" spans="2:15">
      <c r="B53" s="204"/>
      <c r="C53" s="200"/>
      <c r="D53" s="201"/>
      <c r="E53" s="202"/>
      <c r="F53" s="92"/>
      <c r="G53" s="203"/>
      <c r="H53" s="47" t="s">
        <v>31</v>
      </c>
      <c r="I53" s="21">
        <f t="shared" si="29"/>
        <v>0</v>
      </c>
      <c r="J53" s="92"/>
      <c r="K53" s="92"/>
      <c r="L53" s="92"/>
      <c r="M53" s="205"/>
      <c r="N53" s="206"/>
      <c r="O53" s="27">
        <f t="shared" si="4"/>
        <v>0</v>
      </c>
    </row>
    <row r="54" spans="2:15">
      <c r="B54" s="204"/>
      <c r="C54" s="200"/>
      <c r="D54" s="201"/>
      <c r="E54" s="202"/>
      <c r="F54" s="92"/>
      <c r="G54" s="203"/>
      <c r="H54" s="47" t="s">
        <v>31</v>
      </c>
      <c r="I54" s="21">
        <f t="shared" si="29"/>
        <v>0</v>
      </c>
      <c r="J54" s="92"/>
      <c r="K54" s="92"/>
      <c r="L54" s="92"/>
      <c r="M54" s="205"/>
      <c r="N54" s="206"/>
      <c r="O54" s="27">
        <f t="shared" si="4"/>
        <v>0</v>
      </c>
    </row>
    <row r="55" spans="2:15">
      <c r="B55" s="204"/>
      <c r="C55" s="200"/>
      <c r="D55" s="201"/>
      <c r="E55" s="202"/>
      <c r="F55" s="92"/>
      <c r="G55" s="203"/>
      <c r="H55" s="47" t="s">
        <v>31</v>
      </c>
      <c r="I55" s="21">
        <f t="shared" ref="I55:I58" si="31">G55*E55</f>
        <v>0</v>
      </c>
      <c r="J55" s="92"/>
      <c r="K55" s="92"/>
      <c r="L55" s="92"/>
      <c r="M55" s="205"/>
      <c r="N55" s="206"/>
      <c r="O55" s="27">
        <f t="shared" si="4"/>
        <v>0</v>
      </c>
    </row>
    <row r="56" spans="2:15">
      <c r="B56" s="204"/>
      <c r="C56" s="200"/>
      <c r="D56" s="201"/>
      <c r="E56" s="202"/>
      <c r="F56" s="92"/>
      <c r="G56" s="203"/>
      <c r="H56" s="47" t="s">
        <v>31</v>
      </c>
      <c r="I56" s="21">
        <f t="shared" si="31"/>
        <v>0</v>
      </c>
      <c r="J56" s="92"/>
      <c r="K56" s="92"/>
      <c r="L56" s="92"/>
      <c r="M56" s="205"/>
      <c r="N56" s="206"/>
      <c r="O56" s="27">
        <f t="shared" si="4"/>
        <v>0</v>
      </c>
    </row>
    <row r="57" spans="2:15">
      <c r="B57" s="204"/>
      <c r="C57" s="200"/>
      <c r="D57" s="201"/>
      <c r="E57" s="202"/>
      <c r="F57" s="92"/>
      <c r="G57" s="203"/>
      <c r="H57" s="47" t="s">
        <v>31</v>
      </c>
      <c r="I57" s="21">
        <f t="shared" si="31"/>
        <v>0</v>
      </c>
      <c r="J57" s="92"/>
      <c r="K57" s="92"/>
      <c r="L57" s="92"/>
      <c r="M57" s="205"/>
      <c r="N57" s="206"/>
      <c r="O57" s="27">
        <f t="shared" si="4"/>
        <v>0</v>
      </c>
    </row>
    <row r="58" spans="2:15">
      <c r="B58" s="204"/>
      <c r="C58" s="200"/>
      <c r="D58" s="201"/>
      <c r="E58" s="202"/>
      <c r="F58" s="92"/>
      <c r="G58" s="203"/>
      <c r="H58" s="47" t="s">
        <v>31</v>
      </c>
      <c r="I58" s="21">
        <f t="shared" si="31"/>
        <v>0</v>
      </c>
      <c r="J58" s="92"/>
      <c r="K58" s="92"/>
      <c r="L58" s="92"/>
      <c r="M58" s="205"/>
      <c r="N58" s="206"/>
      <c r="O58" s="27">
        <f t="shared" si="4"/>
        <v>0</v>
      </c>
    </row>
    <row r="59" spans="2:15">
      <c r="B59" s="199"/>
      <c r="C59" s="200"/>
      <c r="D59" s="201"/>
      <c r="E59" s="202"/>
      <c r="F59" s="92"/>
      <c r="G59" s="203"/>
      <c r="H59" s="22" t="str">
        <f t="shared" ref="H59" si="32">"t/"&amp;F59</f>
        <v>t/</v>
      </c>
      <c r="I59" s="21">
        <f t="shared" ref="I59" si="33">G59*E59</f>
        <v>0</v>
      </c>
      <c r="J59" s="92"/>
      <c r="K59" s="92"/>
      <c r="L59" s="92"/>
      <c r="M59" s="205"/>
      <c r="N59" s="206"/>
      <c r="O59" s="27">
        <f t="shared" si="4"/>
        <v>0</v>
      </c>
    </row>
    <row r="60" spans="2:15" ht="16.5" customHeight="1">
      <c r="B60" s="199"/>
      <c r="C60" s="200"/>
      <c r="D60" s="201"/>
      <c r="E60" s="202"/>
      <c r="F60" s="92"/>
      <c r="G60" s="203"/>
      <c r="H60" s="22" t="str">
        <f>"t/"&amp;F60</f>
        <v>t/</v>
      </c>
      <c r="I60" s="21">
        <f t="shared" si="29"/>
        <v>0</v>
      </c>
      <c r="J60" s="92"/>
      <c r="K60" s="92"/>
      <c r="L60" s="92"/>
      <c r="M60" s="205"/>
      <c r="N60" s="206"/>
      <c r="O60" s="27">
        <f t="shared" si="4"/>
        <v>0</v>
      </c>
    </row>
    <row r="61" spans="2:15">
      <c r="B61" s="199"/>
      <c r="C61" s="200"/>
      <c r="D61" s="201"/>
      <c r="E61" s="202"/>
      <c r="F61" s="92"/>
      <c r="G61" s="203"/>
      <c r="H61" s="22" t="str">
        <f t="shared" ref="H61" si="34">"t/"&amp;F61</f>
        <v>t/</v>
      </c>
      <c r="I61" s="21">
        <f t="shared" ref="I61" si="35">G61*E61</f>
        <v>0</v>
      </c>
      <c r="J61" s="92"/>
      <c r="K61" s="92"/>
      <c r="L61" s="92"/>
      <c r="M61" s="205"/>
      <c r="N61" s="206"/>
      <c r="O61" s="27">
        <f t="shared" si="4"/>
        <v>0</v>
      </c>
    </row>
    <row r="62" spans="2:15">
      <c r="B62" s="199"/>
      <c r="C62" s="200"/>
      <c r="D62" s="201"/>
      <c r="E62" s="202"/>
      <c r="F62" s="92"/>
      <c r="G62" s="203"/>
      <c r="H62" s="22" t="str">
        <f t="shared" ref="H62" si="36">"t/"&amp;F62</f>
        <v>t/</v>
      </c>
      <c r="I62" s="21">
        <f t="shared" ref="I62" si="37">G62*E62</f>
        <v>0</v>
      </c>
      <c r="J62" s="92"/>
      <c r="K62" s="92"/>
      <c r="L62" s="92"/>
      <c r="M62" s="205"/>
      <c r="N62" s="206"/>
      <c r="O62" s="27">
        <f t="shared" si="4"/>
        <v>0</v>
      </c>
    </row>
    <row r="63" spans="2:15">
      <c r="B63" s="199"/>
      <c r="C63" s="200"/>
      <c r="D63" s="201"/>
      <c r="E63" s="202"/>
      <c r="F63" s="92"/>
      <c r="G63" s="203"/>
      <c r="H63" s="22" t="str">
        <f t="shared" ref="H63" si="38">"t/"&amp;F63</f>
        <v>t/</v>
      </c>
      <c r="I63" s="21">
        <f t="shared" ref="I63" si="39">G63*E63</f>
        <v>0</v>
      </c>
      <c r="J63" s="92"/>
      <c r="K63" s="92"/>
      <c r="L63" s="92"/>
      <c r="M63" s="205"/>
      <c r="N63" s="206"/>
      <c r="O63" s="27">
        <f t="shared" si="4"/>
        <v>0</v>
      </c>
    </row>
    <row r="64" spans="2:15">
      <c r="B64" s="199"/>
      <c r="C64" s="200"/>
      <c r="D64" s="201"/>
      <c r="E64" s="202"/>
      <c r="F64" s="92"/>
      <c r="G64" s="203"/>
      <c r="H64" s="22" t="str">
        <f>"t/"&amp;F64</f>
        <v>t/</v>
      </c>
      <c r="I64" s="21">
        <f>G64*E64</f>
        <v>0</v>
      </c>
      <c r="J64" s="92"/>
      <c r="K64" s="92"/>
      <c r="L64" s="92"/>
      <c r="M64" s="205"/>
      <c r="N64" s="206"/>
      <c r="O64" s="27">
        <f t="shared" si="4"/>
        <v>0</v>
      </c>
    </row>
    <row r="65" spans="2:15">
      <c r="B65" s="199"/>
      <c r="C65" s="200"/>
      <c r="D65" s="201"/>
      <c r="E65" s="202"/>
      <c r="F65" s="92"/>
      <c r="G65" s="203"/>
      <c r="H65" s="22" t="str">
        <f t="shared" ref="H65" si="40">"t/"&amp;F65</f>
        <v>t/</v>
      </c>
      <c r="I65" s="21">
        <f t="shared" ref="I65" si="41">G65*E65</f>
        <v>0</v>
      </c>
      <c r="J65" s="92"/>
      <c r="K65" s="92"/>
      <c r="L65" s="92"/>
      <c r="M65" s="205"/>
      <c r="N65" s="206"/>
      <c r="O65" s="27">
        <f t="shared" si="4"/>
        <v>0</v>
      </c>
    </row>
    <row r="66" spans="2:15">
      <c r="B66" s="199"/>
      <c r="C66" s="200"/>
      <c r="D66" s="201"/>
      <c r="E66" s="202"/>
      <c r="F66" s="92"/>
      <c r="G66" s="203"/>
      <c r="H66" s="22" t="str">
        <f t="shared" ref="H66" si="42">"t/"&amp;F66</f>
        <v>t/</v>
      </c>
      <c r="I66" s="21">
        <f t="shared" ref="I66" si="43">G66*E66</f>
        <v>0</v>
      </c>
      <c r="J66" s="92"/>
      <c r="K66" s="92"/>
      <c r="L66" s="92"/>
      <c r="M66" s="205"/>
      <c r="N66" s="206"/>
      <c r="O66" s="27">
        <f t="shared" si="4"/>
        <v>0</v>
      </c>
    </row>
    <row r="67" spans="2:15">
      <c r="B67" s="25"/>
      <c r="C67" s="45"/>
      <c r="D67" s="22"/>
      <c r="E67" s="26"/>
      <c r="F67" s="22"/>
      <c r="G67" s="19"/>
      <c r="H67" s="22"/>
      <c r="I67" s="21"/>
      <c r="J67" s="22"/>
      <c r="K67" s="22"/>
      <c r="L67" s="92"/>
      <c r="M67" s="20"/>
      <c r="N67" s="126"/>
      <c r="O67" s="27"/>
    </row>
    <row r="68" spans="2:15">
      <c r="B68" s="176" t="s">
        <v>27</v>
      </c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8"/>
      <c r="N68" s="127"/>
      <c r="O68" s="53">
        <f>SUM(O7:O67)</f>
        <v>0</v>
      </c>
    </row>
    <row r="69" spans="2:15" ht="16.5" thickBot="1">
      <c r="B69" s="28"/>
      <c r="C69" s="29"/>
      <c r="D69" s="29"/>
      <c r="E69" s="30"/>
      <c r="F69" s="29"/>
      <c r="G69" s="31"/>
      <c r="H69" s="29"/>
      <c r="I69" s="29"/>
      <c r="J69" s="29"/>
      <c r="K69" s="29"/>
      <c r="L69" s="93"/>
      <c r="M69" s="32"/>
      <c r="N69" s="128"/>
      <c r="O69" s="33"/>
    </row>
    <row r="70" spans="2:15" ht="16.5" thickTop="1"/>
    <row r="74" spans="2:15">
      <c r="B74" s="14"/>
      <c r="C74" s="14"/>
      <c r="D74" s="14"/>
      <c r="E74" s="14"/>
      <c r="F74" s="14"/>
      <c r="G74" s="14"/>
    </row>
    <row r="75" spans="2:15">
      <c r="B75" s="14"/>
      <c r="C75" s="14"/>
      <c r="D75" s="14"/>
      <c r="E75" s="14"/>
      <c r="F75" s="14"/>
      <c r="G75" s="14"/>
    </row>
    <row r="76" spans="2:15">
      <c r="B76" s="14"/>
      <c r="C76" s="14"/>
      <c r="D76" s="14"/>
      <c r="E76" s="14"/>
      <c r="F76" s="14"/>
      <c r="G76" s="14"/>
    </row>
    <row r="77" spans="2:15">
      <c r="B77" s="14"/>
      <c r="C77" s="14"/>
      <c r="D77" s="14"/>
      <c r="E77" s="14"/>
      <c r="F77" s="14"/>
      <c r="G77" s="14"/>
    </row>
    <row r="78" spans="2:15">
      <c r="B78" s="14"/>
      <c r="C78" s="14"/>
      <c r="D78" s="14"/>
      <c r="E78" s="14"/>
      <c r="F78" s="14"/>
      <c r="G78" s="14"/>
    </row>
    <row r="79" spans="2:15">
      <c r="B79" s="14"/>
      <c r="C79" s="14"/>
      <c r="D79" s="14"/>
      <c r="E79" s="14"/>
      <c r="F79" s="14"/>
      <c r="G79" s="14"/>
    </row>
    <row r="80" spans="2:15">
      <c r="B80" s="14"/>
      <c r="C80" s="14"/>
      <c r="D80" s="14"/>
      <c r="E80" s="14"/>
      <c r="F80" s="14"/>
      <c r="G80" s="14"/>
    </row>
    <row r="81" spans="2:7">
      <c r="B81" s="14"/>
      <c r="C81" s="14"/>
      <c r="D81" s="14"/>
      <c r="E81" s="14"/>
      <c r="F81" s="14"/>
      <c r="G81" s="14"/>
    </row>
    <row r="82" spans="2:7">
      <c r="B82" s="14"/>
      <c r="C82" s="14"/>
      <c r="D82" s="14"/>
      <c r="E82" s="14"/>
      <c r="F82" s="14"/>
      <c r="G82" s="14"/>
    </row>
    <row r="83" spans="2:7">
      <c r="B83" s="14"/>
      <c r="C83" s="14"/>
      <c r="D83" s="14"/>
      <c r="E83" s="14"/>
      <c r="F83" s="14"/>
      <c r="G83" s="14"/>
    </row>
    <row r="84" spans="2:7">
      <c r="B84" s="14"/>
      <c r="C84" s="14"/>
      <c r="D84" s="14"/>
      <c r="E84" s="14"/>
      <c r="F84" s="14"/>
      <c r="G84" s="14"/>
    </row>
    <row r="85" spans="2:7">
      <c r="B85" s="14"/>
      <c r="C85" s="14"/>
      <c r="D85" s="14"/>
      <c r="E85" s="14"/>
      <c r="F85" s="14"/>
      <c r="G85" s="14"/>
    </row>
    <row r="86" spans="2:7">
      <c r="B86" s="14"/>
      <c r="C86" s="14"/>
      <c r="D86" s="14"/>
      <c r="E86" s="14"/>
      <c r="F86" s="14"/>
      <c r="G86" s="14"/>
    </row>
  </sheetData>
  <sortState ref="B16:M34">
    <sortCondition ref="B34"/>
  </sortState>
  <mergeCells count="12">
    <mergeCell ref="B2:O2"/>
    <mergeCell ref="B3:O3"/>
    <mergeCell ref="L6:L7"/>
    <mergeCell ref="J6:K6"/>
    <mergeCell ref="B6:B7"/>
    <mergeCell ref="C5:O5"/>
    <mergeCell ref="C6:C7"/>
    <mergeCell ref="D6:D7"/>
    <mergeCell ref="F6:F7"/>
    <mergeCell ref="G6:H6"/>
    <mergeCell ref="N6:N7"/>
    <mergeCell ref="B68:M68"/>
  </mergeCells>
  <printOptions horizontalCentered="1"/>
  <pageMargins left="0" right="0" top="0" bottom="0" header="0" footer="0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BD</vt:lpstr>
      <vt:lpstr>VMD</vt:lpstr>
      <vt:lpstr>VMDf</vt:lpstr>
      <vt:lpstr>FIT</vt:lpstr>
      <vt:lpstr>TRANSPORTES</vt:lpstr>
      <vt:lpstr>BD!Area_de_impressao</vt:lpstr>
      <vt:lpstr>FIT!Area_de_impressao</vt:lpstr>
      <vt:lpstr>TRANSPORTES!Area_de_impressao</vt:lpstr>
      <vt:lpstr>VMD!Area_de_impressao</vt:lpstr>
      <vt:lpstr>VMDf!Area_de_impressao</vt:lpstr>
      <vt:lpstr>TRANSPORTES!Titulos_de_impressao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2025-12-15T12:57:52Z</cp:lastPrinted>
  <dcterms:created xsi:type="dcterms:W3CDTF">2001-03-16T13:21:08Z</dcterms:created>
  <dcterms:modified xsi:type="dcterms:W3CDTF">2026-04-01T20:25:50Z</dcterms:modified>
</cp:coreProperties>
</file>