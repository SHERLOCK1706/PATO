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CANTEIRO_CONTEINER" sheetId="599" r:id="rId1"/>
  </sheet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hidden="1">#REF!</definedName>
    <definedName name="__11__123Graph_CGRANULOMETRIA_1" hidden="1">#REF!</definedName>
    <definedName name="__11__123Graph_LBL_ACHART_2" hidden="1">#REF!</definedName>
    <definedName name="__12__123Graph_D__200__BPF" hidden="1">#REF!</definedName>
    <definedName name="__12__123Graph_LBL_ACHART_3" hidden="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SIDECO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SIDECO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CSIDECO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F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SIDECO" hidden="1">#REF!</definedName>
    <definedName name="__13__123Graph_D__200__D50" hidden="1">#REF!</definedName>
    <definedName name="__13__123Graph_LBL_ACHART_7" hidden="1">#REF!</definedName>
    <definedName name="__14__123Graph_E__200__BPF" hidden="1">#REF!</definedName>
    <definedName name="__14__123Graph_LBL_ACHART_8" hidden="1">#REF!</definedName>
    <definedName name="__15__123Graph_E__200__D50" hidden="1">#REF!</definedName>
    <definedName name="__15__123Graph_LBL_BCHART_2" hidden="1">#REF!</definedName>
    <definedName name="__16__123Graph_F__200__BPF" hidden="1">#REF!</definedName>
    <definedName name="__16__123Graph_LBL_BCHART_3" hidden="1">#REF!</definedName>
    <definedName name="__17__123Graph_F__200__D50" hidden="1">#REF!</definedName>
    <definedName name="__17__123Graph_XCHART_3" hidden="1">#REF!</definedName>
    <definedName name="__18__123Graph_X__200__BPF" hidden="1">#REF!</definedName>
    <definedName name="__18__123Graph_XCHART_8" hidden="1">#REF!</definedName>
    <definedName name="__19__123Graph_X__200__D50" hidden="1">#REF!</definedName>
    <definedName name="__19__123Graph_XCHART_9" hidden="1">#REF!</definedName>
    <definedName name="__2__123Graph_A__200__D50" hidden="1">#REF!</definedName>
    <definedName name="__2__123Graph_ACHART_2" hidden="1">#REF!</definedName>
    <definedName name="__20__123Graph_XEFICIENCIA_1" hidden="1">#REF!</definedName>
    <definedName name="__21__123Graph_XGRANULOMETRIA_1" hidden="1">#REF!</definedName>
    <definedName name="__3__123Graph_ACHART_3" hidden="1">#REF!</definedName>
    <definedName name="__3__123Graph_AEFICIENCIA_1" hidden="1">#REF!</definedName>
    <definedName name="__4__123Graph_ACHART_7" hidden="1">#REF!</definedName>
    <definedName name="__4__123Graph_AGRANULOMETRIA_1" hidden="1">#REF!</definedName>
    <definedName name="__5__123Graph_ACHART_8" hidden="1">#REF!</definedName>
    <definedName name="__5__123Graph_B__200__BPF" hidden="1">#REF!</definedName>
    <definedName name="__6__123Graph_ACHART_9" hidden="1">#REF!</definedName>
    <definedName name="__6__123Graph_B__200__D50" hidden="1">#REF!</definedName>
    <definedName name="__7__123Graph_BCHART_1" hidden="1">#REF!</definedName>
    <definedName name="__7__123Graph_BEFICIENCIA_1" hidden="1">#REF!</definedName>
    <definedName name="__8__123Graph_BCHART_2" hidden="1">#REF!</definedName>
    <definedName name="__8__123Graph_BGRANULOMETRIA_1" hidden="1">#REF!</definedName>
    <definedName name="__9__123Graph_BCHART_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#REF!</definedName>
    <definedName name="_10___123Graph_CCHART_1" hidden="1">#REF!</definedName>
    <definedName name="_10__123Graph_BCHART_9" hidden="1">#REF!</definedName>
    <definedName name="_10__123Graph_C__200__D50" hidden="1">#REF!</definedName>
    <definedName name="_10__123Graph_ECHART_1" hidden="1">#REF!</definedName>
    <definedName name="_11__123Graph_CGRANULOMETRIA_1" hidden="1">#REF!</definedName>
    <definedName name="_11__123Graph_LBL_ACHART_2" hidden="1">#REF!</definedName>
    <definedName name="_12__123Graph_D__200__BPF" hidden="1">#REF!</definedName>
    <definedName name="_12__123Graph_FCHART_1" hidden="1">#REF!</definedName>
    <definedName name="_12__123Graph_LBL_ACHART_3" hidden="1">#REF!</definedName>
    <definedName name="_123" hidden="1">{#N/A,#N/A,TRUE,"Serviços"}</definedName>
    <definedName name="_13___123Graph_DCHART_1" hidden="1">#REF!</definedName>
    <definedName name="_13__123Graph_D__200__D50" hidden="1">#REF!</definedName>
    <definedName name="_13__123Graph_LBL_ACHART_7" hidden="1">#REF!</definedName>
    <definedName name="_14__123Graph_E__200__BPF" hidden="1">#REF!</definedName>
    <definedName name="_14__123Graph_LBL_ACHART_8" hidden="1">#REF!</definedName>
    <definedName name="_14__123Graph_XCHART_3" hidden="1">#REF!</definedName>
    <definedName name="_15__123Graph_E__200__D50" hidden="1">#REF!</definedName>
    <definedName name="_15__123Graph_LBL_BCHART_2" hidden="1">#REF!</definedName>
    <definedName name="_16___123Graph_ECHART_1" hidden="1">#REF!</definedName>
    <definedName name="_16__123Graph_F__200__BPF" hidden="1">#REF!</definedName>
    <definedName name="_16__123Graph_LBL_BCHART_3" hidden="1">#REF!</definedName>
    <definedName name="_17__123Graph_F__200__D50" hidden="1">#REF!</definedName>
    <definedName name="_17__123Graph_XCHART_3" hidden="1">#REF!</definedName>
    <definedName name="_18__123Graph_X__200__BPF" hidden="1">#REF!</definedName>
    <definedName name="_18__123Graph_XCHART_8" hidden="1">#REF!</definedName>
    <definedName name="_1830201" hidden="1">#N/A</definedName>
    <definedName name="_19___123Graph_FCHART_1" hidden="1">#REF!</definedName>
    <definedName name="_19__123Graph_X__200__D50" hidden="1">#REF!</definedName>
    <definedName name="_19__123Graph_XCHART_9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0__123Graph_XEFICIENCIA_1" hidden="1">#REF!</definedName>
    <definedName name="_21__123Graph_XGRANULOMETRIA_1" hidden="1">#REF!</definedName>
    <definedName name="_22___123Graph_XCHART_3" hidden="1">#REF!</definedName>
    <definedName name="_25__123Graph_ACHART_1" hidden="1">#REF!</definedName>
    <definedName name="_26__123Graph_ACHART_3" hidden="1">#REF!</definedName>
    <definedName name="_29__123Graph_BCHART_1" hidden="1">#REF!</definedName>
    <definedName name="_3___123Graph_ACHART_1" hidden="1">#REF!</definedName>
    <definedName name="_3__123Graph_ACHART_3" hidden="1">#REF!</definedName>
    <definedName name="_3__123Graph_AEFICIENCIA_1" hidden="1">#REF!</definedName>
    <definedName name="_32__123Graph_CCHART_1" hidden="1">#REF!</definedName>
    <definedName name="_35__123Graph_DCHART_1" hidden="1">#REF!</definedName>
    <definedName name="_38__123Graph_ECHART_1" hidden="1">#REF!</definedName>
    <definedName name="_4___123Graph_ACHART_3" hidden="1">#REF!</definedName>
    <definedName name="_4__123Graph_ACHART_7" hidden="1">#REF!</definedName>
    <definedName name="_4__123Graph_AGRANULOMETRIA_1" hidden="1">#REF!</definedName>
    <definedName name="_4__123Graph_BCHART_1" hidden="1">#REF!</definedName>
    <definedName name="_41__123Graph_FCHART_1" hidden="1">#REF!</definedName>
    <definedName name="_44__123Graph_XCHART_3" hidden="1">#REF!</definedName>
    <definedName name="_5__123Graph_ACHART_8" hidden="1">#REF!</definedName>
    <definedName name="_5__123Graph_B__200__BPF" hidden="1">#REF!</definedName>
    <definedName name="_6__123Graph_ACHART_9" hidden="1">#REF!</definedName>
    <definedName name="_6__123Graph_B__200__D50" hidden="1">#REF!</definedName>
    <definedName name="_6__123Graph_CCHART_1" hidden="1">#REF!</definedName>
    <definedName name="_7___123Graph_BCHART_1" hidden="1">#REF!</definedName>
    <definedName name="_7__123Graph_BCHART_1" hidden="1">#REF!</definedName>
    <definedName name="_7__123Graph_BEFICIENCIA_1" hidden="1">#REF!</definedName>
    <definedName name="_8__123Graph_BCHART_2" hidden="1">#REF!</definedName>
    <definedName name="_8__123Graph_BGRANULOMETRIA_1" hidden="1">#REF!</definedName>
    <definedName name="_8__123Graph_DCHART_1" hidden="1">#REF!</definedName>
    <definedName name="_9__123Graph_BCHART_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hidden="1">#REF!</definedName>
    <definedName name="aaaa1" hidden="1">{#N/A,#N/A,TRUE,"Serviços"}</definedName>
    <definedName name="aaaaa" hidden="1">{#N/A,#N/A,FALSE,"MO (2)"}</definedName>
    <definedName name="aaaaaaaaaa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0">CANTEIRO_CONTEINER!$A$1:$J$46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154A" hidden="1">#REF!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hidden="1">{#N/A,#N/A,TRUE,"Serviços"}</definedName>
    <definedName name="Cun" hidden="1">#N/A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dos" hidden="1">#REF!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hidden="1">MAX(LEN(#REF!))</definedName>
    <definedName name="DDEEERE" hidden="1">{"'gráf jan00'!$A$1:$AK$41"}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hidden="1">#REF!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hidden="1">#REF!</definedName>
    <definedName name="eng." hidden="1">{#N/A,#N/A,FALSE,"MO (2)"}</definedName>
    <definedName name="eng._1" hidden="1">{#N/A,#N/A,FALSE,"MO (2)"}</definedName>
    <definedName name="ENGENHARIA" hidden="1">{#N/A,#N/A,FALSE,"MO (2)"}</definedName>
    <definedName name="ENGENHARIA_1" hidden="1">{#N/A,#N/A,FALSE,"MO (2)"}</definedName>
    <definedName name="Enrocamento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hidden="1">{"'EI 060 02'!$A$1:$K$59"}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hidden="1">#REF!</definedName>
    <definedName name="hfs" hidden="1">{"'gráf jan00'!$A$1:$AK$41"}</definedName>
    <definedName name="HGHJ" hidden="1">{"'Quadro'!$A$4:$BG$78"}</definedName>
    <definedName name="HGRET" hidden="1">{"'RR'!$A$2:$E$81"}</definedName>
    <definedName name="hh" hidden="1">#REF!</definedName>
    <definedName name="hhhhh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" hidden="1">{"'Quadro'!$A$4:$BG$78"}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hidden="1">{#N/A,#N/A,FALSE,"MO (2)"}</definedName>
    <definedName name="klklklkl" hidden="1">{#N/A,#N/A,FALSE,"MO (2)"}</definedName>
    <definedName name="KLSAIOKPGPO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hidden="1">#REF!</definedName>
    <definedName name="Modelo" hidden="1">#REF!</definedName>
    <definedName name="MP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hidden="1">#REF!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hidden="1">{#N/A,#N/A,FALSE,"MO (2)"}</definedName>
    <definedName name="Portos1" hidden="1">{"'RR'!$A$2:$E$81"}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ROUND(#REF!*#REF!,2)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hidden="1">#REF!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hidden="1">#REF!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hidden="1">#REF!</definedName>
    <definedName name="tran" hidden="1">{"'Quadro'!$A$4:$BG$78"}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hidden="1">{#N/A,#N/A,FALSE,"MO (2)"}</definedName>
    <definedName name="vp" hidden="1">{"'Quadro'!$A$4:$BG$78"}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599" l="1"/>
  <c r="H29" i="599" l="1"/>
  <c r="H9" i="599" l="1"/>
  <c r="H10" i="599"/>
  <c r="H11" i="599"/>
  <c r="H12" i="599"/>
  <c r="H13" i="599"/>
  <c r="H14" i="599"/>
  <c r="H15" i="599"/>
  <c r="H16" i="599"/>
  <c r="H17" i="599"/>
  <c r="H18" i="599"/>
  <c r="H19" i="599"/>
  <c r="H20" i="599"/>
  <c r="H8" i="599"/>
  <c r="H21" i="599" l="1"/>
  <c r="H42" i="599" l="1"/>
  <c r="H37" i="599"/>
  <c r="H39" i="599"/>
  <c r="H44" i="599"/>
</calcChain>
</file>

<file path=xl/sharedStrings.xml><?xml version="1.0" encoding="utf-8"?>
<sst xmlns="http://schemas.openxmlformats.org/spreadsheetml/2006/main" count="51" uniqueCount="42">
  <si>
    <t>Quantidade</t>
  </si>
  <si>
    <t>BDI:</t>
  </si>
  <si>
    <t>Descrição</t>
  </si>
  <si>
    <t>Refeitório e cozinha</t>
  </si>
  <si>
    <t>Alojamentos</t>
  </si>
  <si>
    <t>Almoxarifado</t>
  </si>
  <si>
    <t>Oficina</t>
  </si>
  <si>
    <t>VERSÃO ONERADA</t>
  </si>
  <si>
    <t>VERSÃO DESONERADA</t>
  </si>
  <si>
    <t>Área (m²)</t>
  </si>
  <si>
    <t>Tipo</t>
  </si>
  <si>
    <t>M0041</t>
  </si>
  <si>
    <t>M0042</t>
  </si>
  <si>
    <t>M0057</t>
  </si>
  <si>
    <t>M0058</t>
  </si>
  <si>
    <t>M0059</t>
  </si>
  <si>
    <t>M0066</t>
  </si>
  <si>
    <t>M0071</t>
  </si>
  <si>
    <t>1 - Quantidade de Conteiners</t>
  </si>
  <si>
    <t>Preço unitário</t>
  </si>
  <si>
    <t>Preço parcial</t>
  </si>
  <si>
    <t>Escritório e seção técnica</t>
  </si>
  <si>
    <t>Banheiros e vestiário</t>
  </si>
  <si>
    <t>Residências</t>
  </si>
  <si>
    <t>Depósito de cimento</t>
  </si>
  <si>
    <t xml:space="preserve">Guarita </t>
  </si>
  <si>
    <t>Total:</t>
  </si>
  <si>
    <t>k2 (fator mobiliário)</t>
  </si>
  <si>
    <t>Custo Total do Canteiro de obras e suas instalações:</t>
  </si>
  <si>
    <t>Preço Total do Canteiro de obras e suas instalações:</t>
  </si>
  <si>
    <t>CMCC onerado</t>
  </si>
  <si>
    <t>CMCC desonerado</t>
  </si>
  <si>
    <t>Cp</t>
  </si>
  <si>
    <t>INSTALAÇÃO DE CANTEIRO DE OBRAS E ACAMPAMENTO - CONTEINERS</t>
  </si>
  <si>
    <t>Extensão da rodovia em kmf</t>
  </si>
  <si>
    <t>Ambulatório*</t>
  </si>
  <si>
    <t>Vida útil referencial dos contêineres</t>
  </si>
  <si>
    <t>FEAT (fator de equivalência de áreas totais)</t>
  </si>
  <si>
    <t>AT (área total)</t>
  </si>
  <si>
    <t>Prazo da obra em meses</t>
  </si>
  <si>
    <t>2 - Custo total do Canteiro</t>
  </si>
  <si>
    <t>Tabela 21 - Manual de Custos de Infraestrutura de Transportes - Canteiro de Obras - Volume 06 - 2025 - 2ª 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</si>
</sst>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0.00000000"/>
    <numFmt numFmtId="176" formatCode="_(* #,##0.00_);_(* \(#,##0.00\);_(* \-??_);_(@_)"/>
    <numFmt numFmtId="177" formatCode="[$€]#,##0.00_);[Red]\([$€]#,##0.00\)"/>
    <numFmt numFmtId="178" formatCode="#,##0.0000\ ;&quot; (&quot;#,##0.0000\);&quot; -&quot;#.00\ ;@\ "/>
    <numFmt numFmtId="179" formatCode="&quot;Cr$&quot;#,##0.00_);\(&quot;Cr$&quot;#,##0.00\)"/>
    <numFmt numFmtId="180" formatCode="_(&quot;Cr$&quot;* #,##0_);_(&quot;Cr$&quot;* \(#,##0\);_(&quot;Cr$&quot;* &quot;-&quot;_);_(@_)"/>
    <numFmt numFmtId="181" formatCode="&quot;R$&quot;\ #,##0.00_);[Red]\(&quot;R$&quot;\ #,##0.00\)"/>
    <numFmt numFmtId="182" formatCode="\$#,##0\ ;\(\$#,##0\)"/>
    <numFmt numFmtId="183" formatCode="_(&quot;Cr$&quot;* #,##0.00_);_(&quot;Cr$&quot;* \(#,##0.00\);_(&quot;Cr$&quot;* &quot;-&quot;??_);_(@_)"/>
    <numFmt numFmtId="184" formatCode="%#,#00"/>
    <numFmt numFmtId="185" formatCode="#.##000"/>
    <numFmt numFmtId="186" formatCode="#."/>
    <numFmt numFmtId="187" formatCode=";;;"/>
    <numFmt numFmtId="188" formatCode="#.##0,"/>
    <numFmt numFmtId="189" formatCode="_(&quot;R$&quot;* #,##0.00_);_(&quot;R$&quot;* \(#,##0.00\);_(&quot;R$&quot;* \-??_);_(@_)"/>
    <numFmt numFmtId="190" formatCode="&quot;R$&quot;\ #,##0.00"/>
    <numFmt numFmtId="191" formatCode="#,##0.0"/>
    <numFmt numFmtId="192" formatCode="&quot;Cr$&quot;#,##0.00_);&quot;(Cr$&quot;#,##0.00\)"/>
    <numFmt numFmtId="193" formatCode="\$#,##0.00_);&quot;($&quot;#,##0.00\)"/>
    <numFmt numFmtId="194" formatCode="\$#,##0_);&quot;($&quot;#,##0\)"/>
    <numFmt numFmtId="195" formatCode="mmmm\ d&quot;, &quot;yyyy"/>
    <numFmt numFmtId="196" formatCode="_([$€-2]* #,##0.00_);_([$€-2]* \(#,##0.00\);_([$€-2]* \-??_)"/>
    <numFmt numFmtId="197" formatCode="\$#,##0\ ;&quot;($&quot;#,##0\)"/>
    <numFmt numFmtId="198" formatCode="_(&quot;Cr$&quot;* #,##0.00_);_(&quot;Cr$&quot;* \(#,##0.00\);_(&quot;Cr$&quot;* \-??_);_(@_)"/>
    <numFmt numFmtId="199" formatCode="#,##0.000;[Red]#,##0.000"/>
    <numFmt numFmtId="200" formatCode="&quot;R$&quot;\ #,##0_);[Red]\(&quot;R$&quot;\ #,##0\)"/>
    <numFmt numFmtId="201" formatCode="&quot;R$&quot;\ #,##0.00_);\(&quot;R$&quot;\ #,##0.00\)"/>
    <numFmt numFmtId="202" formatCode="d/m/yy"/>
    <numFmt numFmtId="203" formatCode="_(&quot;$&quot;* #,##0.00_);_(&quot;$&quot;* \(#,##0.00\);_(&quot;$&quot;* &quot;-&quot;??_);_(@_)"/>
    <numFmt numFmtId="204" formatCode="&quot;R$&quot;#,##0.00"/>
  </numFmts>
  <fonts count="1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name val="Arial Narrow"/>
      <family val="2"/>
    </font>
    <font>
      <i/>
      <sz val="10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B4B4B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413">
    <xf numFmtId="0" fontId="0" fillId="0" borderId="0"/>
    <xf numFmtId="169" fontId="65" fillId="0" borderId="0"/>
    <xf numFmtId="179" fontId="71" fillId="0" borderId="0">
      <protection locked="0"/>
    </xf>
    <xf numFmtId="179" fontId="71" fillId="0" borderId="0"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3" fontId="74" fillId="0" borderId="0" applyFont="0" applyFill="0" applyBorder="0" applyAlignment="0" applyProtection="0"/>
    <xf numFmtId="180" fontId="61" fillId="0" borderId="0" applyFont="0" applyFill="0" applyBorder="0" applyAlignment="0" applyProtection="0"/>
    <xf numFmtId="181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6" fillId="0" borderId="0"/>
    <xf numFmtId="177" fontId="67" fillId="0" borderId="0" applyFont="0" applyFill="0" applyBorder="0" applyAlignment="0" applyProtection="0"/>
    <xf numFmtId="2" fontId="76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67" fillId="0" borderId="0"/>
    <xf numFmtId="173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89" fontId="61" fillId="0" borderId="0" applyFill="0" applyBorder="0" applyAlignment="0" applyProtection="0"/>
    <xf numFmtId="42" fontId="61" fillId="0" borderId="0" applyFont="0" applyFill="0" applyBorder="0" applyAlignment="0" applyProtection="0"/>
    <xf numFmtId="172" fontId="69" fillId="0" borderId="0" applyFont="0" applyFill="0" applyBorder="0" applyAlignment="0" applyProtection="0"/>
    <xf numFmtId="172" fontId="69" fillId="0" borderId="0" applyFont="0" applyFill="0" applyBorder="0" applyAlignment="0" applyProtection="0"/>
    <xf numFmtId="168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9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182" fontId="76" fillId="0" borderId="0" applyFont="0" applyFill="0" applyBorder="0" applyAlignment="0" applyProtection="0"/>
    <xf numFmtId="183" fontId="61" fillId="0" borderId="0" applyFont="0" applyFill="0" applyBorder="0" applyAlignment="0" applyProtection="0"/>
    <xf numFmtId="49" fontId="61" fillId="0" borderId="0" applyProtection="0"/>
    <xf numFmtId="49" fontId="61" fillId="0" borderId="0" applyProtection="0"/>
    <xf numFmtId="49" fontId="61" fillId="0" borderId="0" applyProtection="0"/>
    <xf numFmtId="0" fontId="77" fillId="0" borderId="0"/>
    <xf numFmtId="49" fontId="61" fillId="0" borderId="0" applyProtection="0"/>
    <xf numFmtId="0" fontId="70" fillId="0" borderId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85" fillId="0" borderId="0"/>
    <xf numFmtId="0" fontId="77" fillId="0" borderId="0"/>
    <xf numFmtId="0" fontId="7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0" fontId="77" fillId="0" borderId="0"/>
    <xf numFmtId="49" fontId="61" fillId="0" borderId="0" applyProtection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49" fontId="61" fillId="0" borderId="0" applyProtection="0"/>
    <xf numFmtId="49" fontId="61" fillId="0" borderId="0" applyProtection="0"/>
    <xf numFmtId="184" fontId="78" fillId="0" borderId="0">
      <protection locked="0"/>
    </xf>
    <xf numFmtId="185" fontId="78" fillId="0" borderId="0">
      <protection locked="0"/>
    </xf>
    <xf numFmtId="9" fontId="60" fillId="0" borderId="0" applyFont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1" fillId="0" borderId="0" applyFont="0" applyFill="0" applyBorder="0" applyAlignment="0" applyProtection="0"/>
    <xf numFmtId="186" fontId="79" fillId="0" borderId="0">
      <protection locked="0"/>
    </xf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77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77" fillId="0" borderId="0" applyFont="0" applyFill="0" applyBorder="0" applyAlignment="0" applyProtection="0"/>
    <xf numFmtId="42" fontId="61" fillId="0" borderId="0" applyFill="0" applyBorder="0" applyAlignment="0" applyProtection="0"/>
    <xf numFmtId="42" fontId="61" fillId="0" borderId="0" applyFill="0" applyBorder="0" applyAlignment="0" applyProtection="0"/>
    <xf numFmtId="169" fontId="77" fillId="0" borderId="0" applyFont="0" applyFill="0" applyBorder="0" applyAlignment="0" applyProtection="0"/>
    <xf numFmtId="171" fontId="61" fillId="0" borderId="0" applyFill="0" applyBorder="0" applyAlignment="0" applyProtection="0"/>
    <xf numFmtId="178" fontId="61" fillId="0" borderId="0" applyFill="0" applyBorder="0" applyAlignment="0" applyProtection="0"/>
    <xf numFmtId="169" fontId="77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0" fontId="61" fillId="0" borderId="0" applyFill="0" applyBorder="0" applyAlignment="0" applyProtection="0"/>
    <xf numFmtId="169" fontId="69" fillId="0" borderId="0" applyFont="0" applyFill="0" applyBorder="0" applyAlignment="0" applyProtection="0"/>
    <xf numFmtId="175" fontId="61" fillId="0" borderId="0" applyFill="0" applyBorder="0" applyAlignment="0" applyProtection="0"/>
    <xf numFmtId="171" fontId="61" fillId="0" borderId="0" applyFill="0" applyBorder="0" applyAlignment="0" applyProtection="0"/>
    <xf numFmtId="169" fontId="77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40" fontId="75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80" fillId="0" borderId="0" applyNumberFormat="0" applyFill="0" applyBorder="0" applyAlignment="0" applyProtection="0"/>
    <xf numFmtId="187" fontId="71" fillId="0" borderId="0">
      <protection locked="0"/>
    </xf>
    <xf numFmtId="187" fontId="71" fillId="0" borderId="0">
      <protection locked="0"/>
    </xf>
    <xf numFmtId="185" fontId="78" fillId="0" borderId="0">
      <protection locked="0"/>
    </xf>
    <xf numFmtId="188" fontId="78" fillId="0" borderId="0">
      <protection locked="0"/>
    </xf>
    <xf numFmtId="169" fontId="60" fillId="0" borderId="0" applyFont="0" applyFill="0" applyBorder="0" applyAlignment="0" applyProtection="0"/>
    <xf numFmtId="169" fontId="82" fillId="0" borderId="0" applyFont="0" applyFill="0" applyBorder="0" applyAlignment="0" applyProtection="0"/>
    <xf numFmtId="169" fontId="61" fillId="0" borderId="0" applyFont="0" applyFill="0" applyBorder="0" applyAlignment="0" applyProtection="0"/>
    <xf numFmtId="3" fontId="76" fillId="0" borderId="0" applyFont="0" applyFill="0" applyBorder="0" applyAlignment="0" applyProtection="0"/>
    <xf numFmtId="0" fontId="60" fillId="0" borderId="0"/>
    <xf numFmtId="43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5" fontId="60" fillId="0" borderId="0" applyFill="0" applyBorder="0" applyAlignment="0" applyProtection="0"/>
    <xf numFmtId="173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0" fontId="60" fillId="0" borderId="0"/>
    <xf numFmtId="0" fontId="60" fillId="0" borderId="0"/>
    <xf numFmtId="0" fontId="86" fillId="0" borderId="0"/>
    <xf numFmtId="0" fontId="58" fillId="0" borderId="0"/>
    <xf numFmtId="0" fontId="57" fillId="0" borderId="0"/>
    <xf numFmtId="0" fontId="60" fillId="0" borderId="0"/>
    <xf numFmtId="0" fontId="56" fillId="0" borderId="0"/>
    <xf numFmtId="0" fontId="55" fillId="0" borderId="0"/>
    <xf numFmtId="0" fontId="60" fillId="0" borderId="0"/>
    <xf numFmtId="0" fontId="55" fillId="0" borderId="0"/>
    <xf numFmtId="43" fontId="55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9" fontId="60" fillId="0" borderId="0" applyFill="0" applyBorder="0" applyAlignment="0" applyProtection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0" fontId="52" fillId="0" borderId="0"/>
    <xf numFmtId="43" fontId="52" fillId="0" borderId="0" applyFont="0" applyFill="0" applyBorder="0" applyAlignment="0" applyProtection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0" fontId="51" fillId="0" borderId="0"/>
    <xf numFmtId="0" fontId="60" fillId="0" borderId="0"/>
    <xf numFmtId="0" fontId="50" fillId="0" borderId="0"/>
    <xf numFmtId="16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77" fillId="0" borderId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4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6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8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10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2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NumberFormat="0" applyBorder="0" applyAlignment="0" applyProtection="0"/>
    <xf numFmtId="0" fontId="70" fillId="15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0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17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8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5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21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192" fontId="91" fillId="0" borderId="0">
      <protection locked="0"/>
    </xf>
    <xf numFmtId="192" fontId="91" fillId="0" borderId="0">
      <protection locked="0"/>
    </xf>
    <xf numFmtId="0" fontId="92" fillId="22" borderId="3" applyNumberFormat="0" applyAlignment="0" applyProtection="0"/>
    <xf numFmtId="0" fontId="92" fillId="22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3" fillId="13" borderId="4" applyNumberFormat="0" applyAlignment="0" applyProtection="0"/>
    <xf numFmtId="0" fontId="93" fillId="13" borderId="4" applyNumberFormat="0" applyAlignment="0" applyProtection="0"/>
    <xf numFmtId="0" fontId="93" fillId="5" borderId="4" applyNumberFormat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39" fontId="60" fillId="0" borderId="0" applyFill="0" applyBorder="0" applyAlignment="0" applyProtection="0"/>
    <xf numFmtId="3" fontId="77" fillId="0" borderId="0" applyFill="0" applyBorder="0" applyAlignment="0" applyProtection="0"/>
    <xf numFmtId="3" fontId="74" fillId="0" borderId="0" applyFont="0" applyFill="0" applyBorder="0" applyAlignment="0" applyProtection="0"/>
    <xf numFmtId="193" fontId="60" fillId="0" borderId="0" applyFill="0" applyBorder="0" applyAlignment="0" applyProtection="0"/>
    <xf numFmtId="194" fontId="60" fillId="0" borderId="0" applyFill="0" applyBorder="0" applyAlignment="0" applyProtection="0"/>
    <xf numFmtId="0" fontId="77" fillId="0" borderId="0" applyFill="0" applyBorder="0" applyAlignment="0" applyProtection="0"/>
    <xf numFmtId="0" fontId="76" fillId="0" borderId="0" applyFont="0" applyFill="0" applyBorder="0" applyAlignment="0" applyProtection="0"/>
    <xf numFmtId="195" fontId="60" fillId="0" borderId="0" applyFill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196" fontId="60" fillId="0" borderId="0" applyFill="0" applyBorder="0" applyAlignment="0" applyProtection="0"/>
    <xf numFmtId="2" fontId="60" fillId="0" borderId="0" applyFill="0" applyBorder="0" applyAlignment="0" applyProtection="0"/>
    <xf numFmtId="2" fontId="77" fillId="0" borderId="0" applyFill="0" applyBorder="0" applyAlignment="0" applyProtection="0"/>
    <xf numFmtId="2" fontId="76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8" fillId="0" borderId="0"/>
    <xf numFmtId="0" fontId="67" fillId="0" borderId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97" fontId="77" fillId="0" borderId="0" applyFill="0" applyBorder="0" applyAlignment="0" applyProtection="0"/>
    <xf numFmtId="182" fontId="76" fillId="0" borderId="0" applyFont="0" applyFill="0" applyBorder="0" applyAlignment="0" applyProtection="0"/>
    <xf numFmtId="198" fontId="77" fillId="0" borderId="0" applyFill="0" applyBorder="0" applyAlignment="0" applyProtection="0"/>
    <xf numFmtId="183" fontId="60" fillId="0" borderId="0" applyFont="0" applyFill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77" fillId="0" borderId="0"/>
    <xf numFmtId="0" fontId="77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60" fillId="0" borderId="0"/>
    <xf numFmtId="0" fontId="70" fillId="0" borderId="0"/>
    <xf numFmtId="0" fontId="60" fillId="0" borderId="0"/>
    <xf numFmtId="0" fontId="48" fillId="0" borderId="0"/>
    <xf numFmtId="0" fontId="48" fillId="0" borderId="0"/>
    <xf numFmtId="0" fontId="100" fillId="0" borderId="0"/>
    <xf numFmtId="0" fontId="77" fillId="0" borderId="0"/>
    <xf numFmtId="0" fontId="100" fillId="0" borderId="0"/>
    <xf numFmtId="0" fontId="60" fillId="0" borderId="0"/>
    <xf numFmtId="0" fontId="60" fillId="0" borderId="0"/>
    <xf numFmtId="0" fontId="70" fillId="0" borderId="0"/>
    <xf numFmtId="0" fontId="60" fillId="0" borderId="0"/>
    <xf numFmtId="0" fontId="60" fillId="0" borderId="0"/>
    <xf numFmtId="0" fontId="60" fillId="0" borderId="0"/>
    <xf numFmtId="0" fontId="77" fillId="9" borderId="6" applyNumberFormat="0" applyFont="0" applyAlignment="0" applyProtection="0"/>
    <xf numFmtId="0" fontId="77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10" fontId="60" fillId="0" borderId="0" applyFill="0" applyBorder="0" applyAlignment="0" applyProtection="0"/>
    <xf numFmtId="186" fontId="101" fillId="0" borderId="0">
      <protection locked="0"/>
    </xf>
    <xf numFmtId="186" fontId="101" fillId="0" borderId="0">
      <protection locked="0"/>
    </xf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97" fillId="6" borderId="0" applyNumberFormat="0" applyBorder="0" applyAlignment="0" applyProtection="0"/>
    <xf numFmtId="0" fontId="102" fillId="22" borderId="7" applyNumberFormat="0" applyAlignment="0" applyProtection="0"/>
    <xf numFmtId="0" fontId="102" fillId="22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186" fontId="103" fillId="0" borderId="0">
      <protection locked="0"/>
    </xf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76" fontId="77" fillId="0" borderId="0" applyFill="0" applyBorder="0" applyAlignment="0" applyProtection="0"/>
    <xf numFmtId="198" fontId="77" fillId="0" borderId="0" applyFill="0" applyBorder="0" applyAlignment="0" applyProtection="0"/>
    <xf numFmtId="176" fontId="77" fillId="0" borderId="0" applyFill="0" applyBorder="0" applyAlignment="0" applyProtection="0"/>
    <xf numFmtId="43" fontId="60" fillId="0" borderId="0" applyFont="0" applyFill="0" applyBorder="0" applyAlignment="0" applyProtection="0"/>
    <xf numFmtId="176" fontId="77" fillId="0" borderId="0" applyFill="0" applyBorder="0" applyAlignment="0" applyProtection="0"/>
    <xf numFmtId="176" fontId="77" fillId="0" borderId="0" applyFill="0" applyBorder="0" applyAlignment="0" applyProtection="0"/>
    <xf numFmtId="197" fontId="77" fillId="0" borderId="0" applyFill="0" applyBorder="0" applyAlignment="0" applyProtection="0"/>
    <xf numFmtId="197" fontId="77" fillId="0" borderId="0" applyFill="0" applyBorder="0" applyAlignment="0" applyProtection="0"/>
    <xf numFmtId="191" fontId="77" fillId="0" borderId="0" applyFill="0" applyBorder="0" applyAlignment="0" applyProtection="0"/>
    <xf numFmtId="43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97" fontId="77" fillId="0" borderId="0" applyFill="0" applyBorder="0" applyAlignment="0" applyProtection="0"/>
    <xf numFmtId="0" fontId="60" fillId="0" borderId="0" applyFont="0" applyFill="0" applyBorder="0" applyAlignment="0" applyProtection="0"/>
    <xf numFmtId="176" fontId="77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91" fontId="77" fillId="0" borderId="0" applyFill="0" applyBorder="0" applyAlignment="0" applyProtection="0"/>
    <xf numFmtId="176" fontId="77" fillId="0" borderId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68" fillId="0" borderId="1" applyNumberFormat="0" applyFill="0" applyAlignment="0" applyProtection="0"/>
    <xf numFmtId="0" fontId="107" fillId="0" borderId="9" applyNumberFormat="0" applyFill="0" applyAlignment="0" applyProtection="0"/>
    <xf numFmtId="0" fontId="107" fillId="0" borderId="9" applyNumberFormat="0" applyFill="0" applyAlignment="0" applyProtection="0"/>
    <xf numFmtId="0" fontId="112" fillId="0" borderId="9" applyNumberFormat="0" applyFill="0" applyAlignment="0" applyProtection="0"/>
    <xf numFmtId="0" fontId="108" fillId="0" borderId="11" applyNumberFormat="0" applyFill="0" applyAlignment="0" applyProtection="0"/>
    <xf numFmtId="0" fontId="108" fillId="0" borderId="11" applyNumberFormat="0" applyFill="0" applyAlignment="0" applyProtection="0"/>
    <xf numFmtId="0" fontId="113" fillId="0" borderId="10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6" fontId="110" fillId="0" borderId="0">
      <protection locked="0"/>
    </xf>
    <xf numFmtId="186" fontId="110" fillId="0" borderId="0">
      <protection locked="0"/>
    </xf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185" fontId="111" fillId="0" borderId="0">
      <protection locked="0"/>
    </xf>
    <xf numFmtId="188" fontId="111" fillId="0" borderId="0">
      <protection locked="0"/>
    </xf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77" fillId="0" borderId="0" applyFill="0" applyBorder="0" applyAlignment="0" applyProtection="0"/>
    <xf numFmtId="3" fontId="76" fillId="0" borderId="0" applyFont="0" applyFill="0" applyBorder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47" fillId="0" borderId="0"/>
    <xf numFmtId="0" fontId="47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13" fillId="0" borderId="15" applyNumberFormat="0" applyFill="0" applyAlignment="0" applyProtection="0"/>
    <xf numFmtId="43" fontId="6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99" fontId="60" fillId="0" borderId="0" applyFon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0" fontId="70" fillId="0" borderId="0"/>
    <xf numFmtId="0" fontId="41" fillId="0" borderId="0"/>
    <xf numFmtId="0" fontId="70" fillId="12" borderId="0" applyNumberFormat="0" applyBorder="0" applyAlignment="0" applyProtection="0"/>
    <xf numFmtId="0" fontId="70" fillId="14" borderId="0" applyNumberFormat="0" applyBorder="0" applyAlignment="0" applyProtection="0"/>
    <xf numFmtId="0" fontId="70" fillId="9" borderId="0" applyNumberFormat="0" applyBorder="0" applyAlignment="0" applyProtection="0"/>
    <xf numFmtId="0" fontId="70" fillId="7" borderId="0" applyNumberFormat="0" applyBorder="0" applyAlignment="0" applyProtection="0"/>
    <xf numFmtId="0" fontId="70" fillId="11" borderId="0" applyNumberFormat="0" applyBorder="0" applyAlignment="0" applyProtection="0"/>
    <xf numFmtId="0" fontId="70" fillId="9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70" fillId="4" borderId="0" applyNumberFormat="0" applyBorder="0" applyAlignment="0" applyProtection="0"/>
    <xf numFmtId="0" fontId="41" fillId="36" borderId="0" applyNumberFormat="0" applyBorder="0" applyAlignment="0" applyProtection="0"/>
    <xf numFmtId="0" fontId="70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70" fillId="6" borderId="0" applyNumberFormat="0" applyBorder="0" applyAlignment="0" applyProtection="0"/>
    <xf numFmtId="0" fontId="41" fillId="40" borderId="0" applyNumberFormat="0" applyBorder="0" applyAlignment="0" applyProtection="0"/>
    <xf numFmtId="0" fontId="70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70" fillId="8" borderId="0" applyNumberFormat="0" applyBorder="0" applyAlignment="0" applyProtection="0"/>
    <xf numFmtId="0" fontId="41" fillId="44" borderId="0" applyNumberFormat="0" applyBorder="0" applyAlignment="0" applyProtection="0"/>
    <xf numFmtId="0" fontId="70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70" fillId="10" borderId="0" applyNumberFormat="0" applyBorder="0" applyAlignment="0" applyProtection="0"/>
    <xf numFmtId="0" fontId="41" fillId="48" borderId="0" applyNumberFormat="0" applyBorder="0" applyAlignment="0" applyProtection="0"/>
    <xf numFmtId="0" fontId="70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70" fillId="11" borderId="0" applyNumberFormat="0" applyBorder="0" applyAlignment="0" applyProtection="0"/>
    <xf numFmtId="0" fontId="41" fillId="52" borderId="0" applyNumberFormat="0" applyBorder="0" applyAlignment="0" applyProtection="0"/>
    <xf numFmtId="0" fontId="70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70" fillId="7" borderId="0" applyNumberFormat="0" applyBorder="0" applyAlignment="0" applyProtection="0"/>
    <xf numFmtId="0" fontId="41" fillId="56" borderId="0" applyNumberFormat="0" applyBorder="0" applyAlignment="0" applyProtection="0"/>
    <xf numFmtId="0" fontId="70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70" fillId="11" borderId="0" applyNumberFormat="0" applyBorder="0" applyAlignment="0" applyProtection="0"/>
    <xf numFmtId="0" fontId="70" fillId="14" borderId="0" applyNumberFormat="0" applyBorder="0" applyAlignment="0" applyProtection="0"/>
    <xf numFmtId="0" fontId="70" fillId="16" borderId="0" applyNumberFormat="0" applyBorder="0" applyAlignment="0" applyProtection="0"/>
    <xf numFmtId="0" fontId="70" fillId="6" borderId="0" applyNumberFormat="0" applyBorder="0" applyAlignment="0" applyProtection="0"/>
    <xf numFmtId="0" fontId="70" fillId="11" borderId="0" applyNumberFormat="0" applyBorder="0" applyAlignment="0" applyProtection="0"/>
    <xf numFmtId="0" fontId="70" fillId="9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70" fillId="12" borderId="0" applyNumberFormat="0" applyBorder="0" applyAlignment="0" applyProtection="0"/>
    <xf numFmtId="0" fontId="41" fillId="37" borderId="0" applyNumberFormat="0" applyBorder="0" applyAlignment="0" applyProtection="0"/>
    <xf numFmtId="0" fontId="70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70" fillId="14" borderId="0" applyNumberFormat="0" applyBorder="0" applyAlignment="0" applyProtection="0"/>
    <xf numFmtId="0" fontId="41" fillId="41" borderId="0" applyNumberFormat="0" applyBorder="0" applyAlignment="0" applyProtection="0"/>
    <xf numFmtId="0" fontId="70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70" fillId="15" borderId="0" applyNumberFormat="0" applyBorder="0" applyAlignment="0" applyProtection="0"/>
    <xf numFmtId="0" fontId="41" fillId="45" borderId="0" applyNumberFormat="0" applyBorder="0" applyAlignment="0" applyProtection="0"/>
    <xf numFmtId="0" fontId="70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70" fillId="10" borderId="0" applyNumberFormat="0" applyBorder="0" applyAlignment="0" applyProtection="0"/>
    <xf numFmtId="0" fontId="41" fillId="49" borderId="0" applyNumberFormat="0" applyBorder="0" applyAlignment="0" applyProtection="0"/>
    <xf numFmtId="0" fontId="70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70" fillId="12" borderId="0" applyNumberFormat="0" applyBorder="0" applyAlignment="0" applyProtection="0"/>
    <xf numFmtId="0" fontId="41" fillId="53" borderId="0" applyNumberFormat="0" applyBorder="0" applyAlignment="0" applyProtection="0"/>
    <xf numFmtId="0" fontId="70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0" fillId="17" borderId="0" applyNumberFormat="0" applyBorder="0" applyAlignment="0" applyProtection="0"/>
    <xf numFmtId="0" fontId="70" fillId="17" borderId="0" applyNumberFormat="0" applyBorder="0" applyAlignment="0" applyProtection="0"/>
    <xf numFmtId="0" fontId="70" fillId="17" borderId="0" applyNumberFormat="0" applyBorder="0" applyAlignment="0" applyProtection="0"/>
    <xf numFmtId="0" fontId="70" fillId="17" borderId="0" applyNumberFormat="0" applyBorder="0" applyAlignment="0" applyProtection="0"/>
    <xf numFmtId="0" fontId="70" fillId="17" borderId="0" applyNumberFormat="0" applyBorder="0" applyAlignment="0" applyProtection="0"/>
    <xf numFmtId="0" fontId="70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0" fillId="17" borderId="0" applyNumberFormat="0" applyBorder="0" applyAlignment="0" applyProtection="0"/>
    <xf numFmtId="0" fontId="41" fillId="57" borderId="0" applyNumberFormat="0" applyBorder="0" applyAlignment="0" applyProtection="0"/>
    <xf numFmtId="0" fontId="70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89" fillId="11" borderId="0" applyNumberFormat="0" applyBorder="0" applyAlignment="0" applyProtection="0"/>
    <xf numFmtId="0" fontId="89" fillId="27" borderId="0" applyNumberFormat="0" applyBorder="0" applyAlignment="0" applyProtection="0"/>
    <xf numFmtId="0" fontId="89" fillId="17" borderId="0" applyNumberFormat="0" applyBorder="0" applyAlignment="0" applyProtection="0"/>
    <xf numFmtId="0" fontId="89" fillId="6" borderId="0" applyNumberFormat="0" applyBorder="0" applyAlignment="0" applyProtection="0"/>
    <xf numFmtId="0" fontId="89" fillId="11" borderId="0" applyNumberFormat="0" applyBorder="0" applyAlignment="0" applyProtection="0"/>
    <xf numFmtId="0" fontId="89" fillId="14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8" fillId="0" borderId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89" fillId="59" borderId="0" applyNumberFormat="0" applyBorder="0" applyAlignment="0" applyProtection="0"/>
    <xf numFmtId="0" fontId="89" fillId="27" borderId="0" applyNumberFormat="0" applyBorder="0" applyAlignment="0" applyProtection="0"/>
    <xf numFmtId="0" fontId="89" fillId="17" borderId="0" applyNumberFormat="0" applyBorder="0" applyAlignment="0" applyProtection="0"/>
    <xf numFmtId="0" fontId="89" fillId="26" borderId="0" applyNumberFormat="0" applyBorder="0" applyAlignment="0" applyProtection="0"/>
    <xf numFmtId="0" fontId="89" fillId="19" borderId="0" applyNumberFormat="0" applyBorder="0" applyAlignment="0" applyProtection="0"/>
    <xf numFmtId="0" fontId="89" fillId="24" borderId="0" applyNumberFormat="0" applyBorder="0" applyAlignment="0" applyProtection="0"/>
    <xf numFmtId="0" fontId="97" fillId="10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29" fillId="22" borderId="3" applyNumberFormat="0" applyAlignment="0" applyProtection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130" fillId="0" borderId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131" fillId="0" borderId="0"/>
    <xf numFmtId="0" fontId="93" fillId="5" borderId="13" applyNumberFormat="0" applyAlignment="0" applyProtection="0"/>
    <xf numFmtId="0" fontId="93" fillId="5" borderId="13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93" fillId="5" borderId="13" applyNumberFormat="0" applyAlignment="0" applyProtection="0"/>
    <xf numFmtId="3" fontId="74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105" fillId="0" borderId="0" applyNumberFormat="0" applyFill="0" applyBorder="0" applyAlignment="0" applyProtection="0"/>
    <xf numFmtId="0" fontId="78" fillId="0" borderId="0">
      <protection locked="0"/>
    </xf>
    <xf numFmtId="0" fontId="71" fillId="0" borderId="0">
      <protection locked="0"/>
    </xf>
    <xf numFmtId="0" fontId="132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2" fontId="76" fillId="0" borderId="0" applyFont="0" applyFill="0" applyBorder="0" applyAlignment="0" applyProtection="0"/>
    <xf numFmtId="0" fontId="90" fillId="11" borderId="0" applyNumberFormat="0" applyBorder="0" applyAlignment="0" applyProtection="0"/>
    <xf numFmtId="0" fontId="133" fillId="0" borderId="0">
      <alignment horizontal="left"/>
    </xf>
    <xf numFmtId="0" fontId="106" fillId="0" borderId="26" applyNumberFormat="0" applyFill="0" applyAlignment="0" applyProtection="0"/>
    <xf numFmtId="0" fontId="107" fillId="0" borderId="27" applyNumberFormat="0" applyFill="0" applyAlignment="0" applyProtection="0"/>
    <xf numFmtId="0" fontId="108" fillId="0" borderId="28" applyNumberFormat="0" applyFill="0" applyAlignment="0" applyProtection="0"/>
    <xf numFmtId="0" fontId="108" fillId="0" borderId="0" applyNumberFormat="0" applyFill="0" applyBorder="0" applyAlignment="0" applyProtection="0"/>
    <xf numFmtId="0" fontId="134" fillId="0" borderId="0">
      <alignment horizontal="center" textRotation="90"/>
    </xf>
    <xf numFmtId="0" fontId="135" fillId="0" borderId="0" applyNumberFormat="0" applyFill="0" applyBorder="0" applyAlignment="0" applyProtection="0">
      <alignment vertical="top"/>
      <protection locked="0"/>
    </xf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67" fillId="0" borderId="0"/>
    <xf numFmtId="0" fontId="67" fillId="0" borderId="0"/>
    <xf numFmtId="0" fontId="95" fillId="16" borderId="3" applyNumberFormat="0" applyAlignment="0" applyProtection="0"/>
    <xf numFmtId="0" fontId="104" fillId="0" borderId="29" applyNumberFormat="0" applyFill="0" applyAlignment="0" applyProtection="0"/>
    <xf numFmtId="38" fontId="136" fillId="0" borderId="0" applyFont="0" applyFill="0" applyBorder="0" applyAlignment="0" applyProtection="0"/>
    <xf numFmtId="40" fontId="136" fillId="0" borderId="0" applyFont="0" applyFill="0" applyBorder="0" applyAlignment="0" applyProtection="0"/>
    <xf numFmtId="0" fontId="137" fillId="0" borderId="14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3" fontId="138" fillId="0" borderId="0" applyFont="0" applyFill="0" applyBorder="0" applyAlignment="0" applyProtection="0"/>
    <xf numFmtId="182" fontId="76" fillId="0" borderId="0" applyFont="0" applyFill="0" applyBorder="0" applyAlignment="0" applyProtection="0"/>
    <xf numFmtId="200" fontId="60" fillId="0" borderId="0" applyFont="0" applyFill="0" applyBorder="0" applyAlignment="0" applyProtection="0"/>
    <xf numFmtId="201" fontId="60" fillId="0" borderId="0" applyFont="0" applyFill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39" fillId="1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1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60" fillId="0" borderId="0" applyNumberFormat="0" applyFont="0" applyFill="0" applyBorder="0" applyAlignment="0" applyProtection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7" fillId="0" borderId="0"/>
    <xf numFmtId="0" fontId="60" fillId="0" borderId="0"/>
    <xf numFmtId="0" fontId="60" fillId="0" borderId="0"/>
    <xf numFmtId="0" fontId="41" fillId="0" borderId="0"/>
    <xf numFmtId="0" fontId="70" fillId="0" borderId="0"/>
    <xf numFmtId="0" fontId="70" fillId="0" borderId="0"/>
    <xf numFmtId="0" fontId="77" fillId="0" borderId="0"/>
    <xf numFmtId="0" fontId="7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9" fontId="67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9" fontId="67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1" fillId="0" borderId="0"/>
    <xf numFmtId="0" fontId="60" fillId="0" borderId="0"/>
    <xf numFmtId="0" fontId="60" fillId="0" borderId="0"/>
    <xf numFmtId="0" fontId="14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0" fillId="0" borderId="0"/>
    <xf numFmtId="0" fontId="60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70" fillId="34" borderId="24" applyNumberFormat="0" applyFont="0" applyAlignment="0" applyProtection="0"/>
    <xf numFmtId="0" fontId="70" fillId="34" borderId="24" applyNumberFormat="0" applyFont="0" applyAlignment="0" applyProtection="0"/>
    <xf numFmtId="0" fontId="70" fillId="34" borderId="24" applyNumberFormat="0" applyFont="0" applyAlignment="0" applyProtection="0"/>
    <xf numFmtId="0" fontId="70" fillId="9" borderId="6" applyNumberFormat="0" applyFont="0" applyAlignment="0" applyProtection="0"/>
    <xf numFmtId="0" fontId="70" fillId="9" borderId="6" applyNumberFormat="0" applyFont="0" applyAlignment="0" applyProtection="0"/>
    <xf numFmtId="0" fontId="70" fillId="9" borderId="6" applyNumberFormat="0" applyFont="0" applyAlignment="0" applyProtection="0"/>
    <xf numFmtId="0" fontId="70" fillId="9" borderId="6" applyNumberFormat="0" applyFont="0" applyAlignment="0" applyProtection="0"/>
    <xf numFmtId="0" fontId="7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41" fillId="34" borderId="24" applyNumberFormat="0" applyFont="0" applyAlignment="0" applyProtection="0"/>
    <xf numFmtId="0" fontId="70" fillId="9" borderId="6" applyNumberFormat="0" applyFont="0" applyAlignment="0" applyProtection="0"/>
    <xf numFmtId="0" fontId="70" fillId="34" borderId="24" applyNumberFormat="0" applyFont="0" applyAlignment="0" applyProtection="0"/>
    <xf numFmtId="0" fontId="70" fillId="34" borderId="24" applyNumberFormat="0" applyFont="0" applyAlignment="0" applyProtection="0"/>
    <xf numFmtId="0" fontId="100" fillId="9" borderId="6" applyNumberFormat="0" applyFont="0" applyAlignment="0" applyProtection="0"/>
    <xf numFmtId="40" fontId="142" fillId="0" borderId="0" applyFont="0" applyFill="0" applyBorder="0" applyAlignment="0" applyProtection="0"/>
    <xf numFmtId="38" fontId="142" fillId="0" borderId="0" applyFont="0" applyFill="0" applyBorder="0" applyAlignment="0" applyProtection="0"/>
    <xf numFmtId="0" fontId="102" fillId="22" borderId="7" applyNumberFormat="0" applyAlignment="0" applyProtection="0"/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186" fontId="79" fillId="0" borderId="0">
      <protection locked="0"/>
    </xf>
    <xf numFmtId="186" fontId="79" fillId="0" borderId="0">
      <protection locked="0"/>
    </xf>
    <xf numFmtId="186" fontId="79" fillId="0" borderId="0">
      <protection locked="0"/>
    </xf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69" fontId="77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0" fontId="137" fillId="0" borderId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202" fontId="145" fillId="0" borderId="0">
      <alignment horizontal="center" textRotation="90"/>
    </xf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80" fillId="0" borderId="0" applyNumberFormat="0" applyFill="0" applyBorder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49" fontId="147" fillId="0" borderId="2">
      <alignment horizontal="left" vertical="center"/>
    </xf>
    <xf numFmtId="49" fontId="147" fillId="0" borderId="2">
      <alignment horizontal="left" vertical="center"/>
    </xf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76" fillId="0" borderId="12" applyNumberFormat="0" applyFon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76" fillId="0" borderId="12" applyNumberFormat="0" applyFon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3" fontId="76" fillId="0" borderId="0" applyFont="0" applyFill="0" applyBorder="0" applyAlignment="0" applyProtection="0"/>
    <xf numFmtId="203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40" fillId="0" borderId="0"/>
    <xf numFmtId="0" fontId="149" fillId="0" borderId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173" fontId="60" fillId="0" borderId="0" applyFont="0" applyFill="0" applyBorder="0" applyAlignment="0" applyProtection="0"/>
    <xf numFmtId="0" fontId="92" fillId="13" borderId="42" applyNumberFormat="0" applyAlignment="0" applyProtection="0"/>
    <xf numFmtId="168" fontId="60" fillId="0" borderId="0" applyFont="0" applyFill="0" applyBorder="0" applyAlignment="0" applyProtection="0"/>
    <xf numFmtId="189" fontId="60" fillId="0" borderId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49" fontId="60" fillId="0" borderId="0" applyProtection="0"/>
    <xf numFmtId="0" fontId="92" fillId="13" borderId="42" applyNumberFormat="0" applyAlignment="0" applyProtection="0"/>
    <xf numFmtId="49" fontId="60" fillId="0" borderId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0" fontId="6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9" fontId="60" fillId="0" borderId="0" applyFont="0" applyFill="0" applyBorder="0" applyAlignment="0" applyProtection="0"/>
    <xf numFmtId="9" fontId="60" fillId="0" borderId="0" applyFill="0" applyBorder="0" applyAlignment="0" applyProtection="0"/>
    <xf numFmtId="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42" fontId="60" fillId="0" borderId="0" applyFill="0" applyBorder="0" applyAlignment="0" applyProtection="0"/>
    <xf numFmtId="42" fontId="60" fillId="0" borderId="0" applyFill="0" applyBorder="0" applyAlignment="0" applyProtection="0"/>
    <xf numFmtId="171" fontId="60" fillId="0" borderId="0" applyFill="0" applyBorder="0" applyAlignment="0" applyProtection="0"/>
    <xf numFmtId="178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0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0" fontId="92" fillId="13" borderId="42" applyNumberFormat="0" applyAlignment="0" applyProtection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2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22" borderId="31" applyNumberFormat="0" applyAlignment="0" applyProtection="0"/>
    <xf numFmtId="0" fontId="92" fillId="22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77" fillId="9" borderId="32" applyNumberFormat="0" applyFont="0" applyAlignment="0" applyProtection="0"/>
    <xf numFmtId="0" fontId="77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102" fillId="22" borderId="33" applyNumberFormat="0" applyAlignment="0" applyProtection="0"/>
    <xf numFmtId="0" fontId="102" fillId="22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43" fontId="40" fillId="0" borderId="0" applyFont="0" applyFill="0" applyBorder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95" fillId="16" borderId="42" applyNumberFormat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16" borderId="31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0" fillId="9" borderId="32" applyNumberFormat="0" applyFont="0" applyAlignment="0" applyProtection="0"/>
    <xf numFmtId="0" fontId="70" fillId="9" borderId="32" applyNumberFormat="0" applyFont="0" applyAlignment="0" applyProtection="0"/>
    <xf numFmtId="0" fontId="70" fillId="9" borderId="32" applyNumberFormat="0" applyFont="0" applyAlignment="0" applyProtection="0"/>
    <xf numFmtId="0" fontId="70" fillId="9" borderId="32" applyNumberFormat="0" applyFont="0" applyAlignment="0" applyProtection="0"/>
    <xf numFmtId="0" fontId="7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40" fillId="34" borderId="24" applyNumberFormat="0" applyFont="0" applyAlignment="0" applyProtection="0"/>
    <xf numFmtId="0" fontId="70" fillId="9" borderId="32" applyNumberFormat="0" applyFont="0" applyAlignment="0" applyProtection="0"/>
    <xf numFmtId="0" fontId="100" fillId="9" borderId="32" applyNumberFormat="0" applyFont="0" applyAlignment="0" applyProtection="0"/>
    <xf numFmtId="0" fontId="102" fillId="22" borderId="33" applyNumberFormat="0" applyAlignment="0" applyProtection="0"/>
    <xf numFmtId="9" fontId="40" fillId="0" borderId="0" applyFont="0" applyFill="0" applyBorder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22" borderId="44" applyNumberFormat="0" applyAlignment="0" applyProtection="0"/>
    <xf numFmtId="0" fontId="102" fillId="22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7" fillId="9" borderId="43" applyNumberFormat="0" applyFont="0" applyAlignment="0" applyProtection="0"/>
    <xf numFmtId="0" fontId="77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171" fontId="60" fillId="0" borderId="0" applyFill="0" applyBorder="0" applyAlignment="0" applyProtection="0"/>
    <xf numFmtId="0" fontId="149" fillId="0" borderId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29" fillId="22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93" fillId="5" borderId="13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22" borderId="34" applyNumberFormat="0" applyAlignment="0" applyProtection="0"/>
    <xf numFmtId="0" fontId="92" fillId="22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6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7" fillId="9" borderId="35" applyNumberFormat="0" applyFont="0" applyAlignment="0" applyProtection="0"/>
    <xf numFmtId="0" fontId="77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22" borderId="36" applyNumberFormat="0" applyAlignment="0" applyProtection="0"/>
    <xf numFmtId="0" fontId="102" fillId="22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60" fillId="0" borderId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7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29" fillId="22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0" fillId="9" borderId="40" applyNumberFormat="0" applyFont="0" applyAlignment="0" applyProtection="0"/>
    <xf numFmtId="0" fontId="100" fillId="9" borderId="40" applyNumberFormat="0" applyFont="0" applyAlignment="0" applyProtection="0"/>
    <xf numFmtId="0" fontId="92" fillId="13" borderId="39" applyNumberFormat="0" applyAlignment="0" applyProtection="0"/>
    <xf numFmtId="0" fontId="95" fillId="16" borderId="34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77" fillId="9" borderId="40" applyNumberFormat="0" applyFont="0" applyAlignment="0" applyProtection="0"/>
    <xf numFmtId="0" fontId="77" fillId="9" borderId="40" applyNumberFormat="0" applyFon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70" fillId="9" borderId="35" applyNumberFormat="0" applyFont="0" applyAlignment="0" applyProtection="0"/>
    <xf numFmtId="0" fontId="70" fillId="9" borderId="35" applyNumberFormat="0" applyFont="0" applyAlignment="0" applyProtection="0"/>
    <xf numFmtId="0" fontId="70" fillId="9" borderId="35" applyNumberFormat="0" applyFont="0" applyAlignment="0" applyProtection="0"/>
    <xf numFmtId="0" fontId="70" fillId="9" borderId="35" applyNumberFormat="0" applyFont="0" applyAlignment="0" applyProtection="0"/>
    <xf numFmtId="0" fontId="70" fillId="9" borderId="35" applyNumberFormat="0" applyFont="0" applyAlignment="0" applyProtection="0"/>
    <xf numFmtId="0" fontId="60" fillId="9" borderId="40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2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2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5" fillId="7" borderId="39" applyNumberFormat="0" applyAlignment="0" applyProtection="0"/>
    <xf numFmtId="0" fontId="70" fillId="9" borderId="35" applyNumberFormat="0" applyFont="0" applyAlignment="0" applyProtection="0"/>
    <xf numFmtId="0" fontId="92" fillId="13" borderId="39" applyNumberFormat="0" applyAlignment="0" applyProtection="0"/>
    <xf numFmtId="0" fontId="100" fillId="9" borderId="35" applyNumberFormat="0" applyFont="0" applyAlignment="0" applyProtection="0"/>
    <xf numFmtId="0" fontId="60" fillId="9" borderId="40" applyNumberFormat="0" applyFont="0" applyAlignment="0" applyProtection="0"/>
    <xf numFmtId="0" fontId="102" fillId="22" borderId="36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102" fillId="22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29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0" borderId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6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6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29" fillId="22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02" fillId="22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77" fillId="9" borderId="40" applyNumberFormat="0" applyFont="0" applyAlignment="0" applyProtection="0"/>
    <xf numFmtId="0" fontId="77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6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5" fillId="7" borderId="39" applyNumberFormat="0" applyAlignment="0" applyProtection="0"/>
    <xf numFmtId="0" fontId="60" fillId="0" borderId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5" fillId="7" borderId="39" applyNumberFormat="0" applyAlignment="0" applyProtection="0"/>
    <xf numFmtId="0" fontId="60" fillId="0" borderId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0" fillId="9" borderId="40" applyNumberFormat="0" applyFont="0" applyAlignment="0" applyProtection="0"/>
    <xf numFmtId="0" fontId="100" fillId="9" borderId="40" applyNumberFormat="0" applyFont="0" applyAlignment="0" applyProtection="0"/>
    <xf numFmtId="0" fontId="102" fillId="22" borderId="41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7" fillId="9" borderId="40" applyNumberFormat="0" applyFont="0" applyAlignment="0" applyProtection="0"/>
    <xf numFmtId="0" fontId="77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7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0" fillId="9" borderId="40" applyNumberFormat="0" applyFont="0" applyAlignment="0" applyProtection="0"/>
    <xf numFmtId="0" fontId="10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0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77" fillId="9" borderId="43" applyNumberFormat="0" applyFont="0" applyAlignment="0" applyProtection="0"/>
    <xf numFmtId="0" fontId="77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22" borderId="44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29" fillId="22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0" fillId="9" borderId="43" applyNumberFormat="0" applyFont="0" applyAlignment="0" applyProtection="0"/>
    <xf numFmtId="0" fontId="100" fillId="9" borderId="43" applyNumberFormat="0" applyFon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77" fillId="9" borderId="43" applyNumberFormat="0" applyFont="0" applyAlignment="0" applyProtection="0"/>
    <xf numFmtId="0" fontId="77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70" fillId="9" borderId="43" applyNumberFormat="0" applyFont="0" applyAlignment="0" applyProtection="0"/>
    <xf numFmtId="0" fontId="92" fillId="13" borderId="42" applyNumberFormat="0" applyAlignment="0" applyProtection="0"/>
    <xf numFmtId="0" fontId="10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29" fillId="22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77" fillId="9" borderId="43" applyNumberFormat="0" applyFont="0" applyAlignment="0" applyProtection="0"/>
    <xf numFmtId="0" fontId="77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0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7" fillId="9" borderId="43" applyNumberFormat="0" applyFont="0" applyAlignment="0" applyProtection="0"/>
    <xf numFmtId="0" fontId="77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7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0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43" fontId="65" fillId="0" borderId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7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7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7" borderId="52" applyNumberFormat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5" fillId="7" borderId="5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2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7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2" fillId="13" borderId="52" applyNumberFormat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0" fontId="95" fillId="7" borderId="52" applyNumberFormat="0" applyAlignment="0" applyProtection="0"/>
    <xf numFmtId="0" fontId="36" fillId="0" borderId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2" fillId="13" borderId="55" applyNumberFormat="0" applyAlignment="0" applyProtection="0"/>
    <xf numFmtId="0" fontId="36" fillId="40" borderId="0" applyNumberFormat="0" applyBorder="0" applyAlignment="0" applyProtection="0"/>
    <xf numFmtId="0" fontId="102" fillId="13" borderId="55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2" fillId="13" borderId="55" applyNumberFormat="0" applyAlignment="0" applyProtection="0"/>
    <xf numFmtId="0" fontId="36" fillId="44" borderId="0" applyNumberFormat="0" applyBorder="0" applyAlignment="0" applyProtection="0"/>
    <xf numFmtId="0" fontId="102" fillId="13" borderId="55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2" fillId="13" borderId="55" applyNumberFormat="0" applyAlignment="0" applyProtection="0"/>
    <xf numFmtId="0" fontId="36" fillId="48" borderId="0" applyNumberFormat="0" applyBorder="0" applyAlignment="0" applyProtection="0"/>
    <xf numFmtId="0" fontId="102" fillId="13" borderId="55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2" fillId="13" borderId="55" applyNumberFormat="0" applyAlignment="0" applyProtection="0"/>
    <xf numFmtId="0" fontId="36" fillId="52" borderId="0" applyNumberFormat="0" applyBorder="0" applyAlignment="0" applyProtection="0"/>
    <xf numFmtId="0" fontId="102" fillId="13" borderId="55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2" fillId="22" borderId="55" applyNumberFormat="0" applyAlignment="0" applyProtection="0"/>
    <xf numFmtId="0" fontId="10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70" fillId="9" borderId="54" applyNumberFormat="0" applyFont="0" applyAlignment="0" applyProtection="0"/>
    <xf numFmtId="0" fontId="70" fillId="9" borderId="54" applyNumberFormat="0" applyFont="0" applyAlignment="0" applyProtection="0"/>
    <xf numFmtId="0" fontId="70" fillId="9" borderId="54" applyNumberFormat="0" applyFont="0" applyAlignment="0" applyProtection="0"/>
    <xf numFmtId="0" fontId="70" fillId="9" borderId="54" applyNumberFormat="0" applyFont="0" applyAlignment="0" applyProtection="0"/>
    <xf numFmtId="0" fontId="70" fillId="9" borderId="54" applyNumberFormat="0" applyFont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138" fillId="0" borderId="0" applyFont="0" applyFill="0" applyBorder="0" applyAlignment="0" applyProtection="0"/>
    <xf numFmtId="0" fontId="36" fillId="0" borderId="0"/>
    <xf numFmtId="0" fontId="95" fillId="16" borderId="52" applyNumberFormat="0" applyAlignment="0" applyProtection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34" borderId="24" applyNumberFormat="0" applyFon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36" fillId="34" borderId="24" applyNumberFormat="0" applyFon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129" fillId="22" borderId="52" applyNumberForma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9" fontId="36" fillId="0" borderId="0" applyFont="0" applyFill="0" applyBorder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22" borderId="55" applyNumberFormat="0" applyAlignment="0" applyProtection="0"/>
    <xf numFmtId="0" fontId="102" fillId="22" borderId="55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77" fillId="9" borderId="54" applyNumberFormat="0" applyFont="0" applyAlignment="0" applyProtection="0"/>
    <xf numFmtId="0" fontId="77" fillId="9" borderId="54" applyNumberFormat="0" applyFon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22" borderId="52" applyNumberFormat="0" applyAlignment="0" applyProtection="0"/>
    <xf numFmtId="0" fontId="92" fillId="22" borderId="52" applyNumberFormat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165" fontId="60" fillId="0" borderId="0" applyFill="0" applyBorder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36" fillId="0" borderId="0"/>
    <xf numFmtId="0" fontId="60" fillId="0" borderId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167" fontId="60" fillId="0" borderId="0" applyFont="0" applyFill="0" applyBorder="0" applyAlignment="0" applyProtection="0"/>
    <xf numFmtId="0" fontId="92" fillId="13" borderId="49" applyNumberFormat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52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92" fillId="13" borderId="49" applyNumberFormat="0" applyAlignment="0" applyProtection="0"/>
    <xf numFmtId="43" fontId="36" fillId="0" borderId="0" applyFont="0" applyFill="0" applyBorder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2" fillId="13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2" fillId="13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2" fillId="13" borderId="49" applyNumberFormat="0" applyAlignment="0" applyProtection="0"/>
    <xf numFmtId="0" fontId="36" fillId="0" borderId="0"/>
    <xf numFmtId="0" fontId="92" fillId="13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43" fontId="36" fillId="0" borderId="0" applyFont="0" applyFill="0" applyBorder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95" fillId="16" borderId="49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9" fontId="36" fillId="0" borderId="0" applyFont="0" applyFill="0" applyBorder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165" fontId="60" fillId="0" borderId="0" applyFill="0" applyBorder="0" applyAlignment="0" applyProtection="0"/>
    <xf numFmtId="0" fontId="60" fillId="0" borderId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3" fillId="5" borderId="46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5" fillId="7" borderId="52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29" fillId="22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70" fillId="9" borderId="50" applyNumberFormat="0" applyFont="0" applyAlignment="0" applyProtection="0"/>
    <xf numFmtId="0" fontId="92" fillId="13" borderId="49" applyNumberFormat="0" applyAlignment="0" applyProtection="0"/>
    <xf numFmtId="0" fontId="10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52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76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52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52" applyNumberForma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29" fillId="22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70" fillId="9" borderId="50" applyNumberFormat="0" applyFont="0" applyAlignment="0" applyProtection="0"/>
    <xf numFmtId="0" fontId="92" fillId="13" borderId="49" applyNumberFormat="0" applyAlignment="0" applyProtection="0"/>
    <xf numFmtId="0" fontId="10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7" fillId="9" borderId="50" applyNumberFormat="0" applyFont="0" applyAlignment="0" applyProtection="0"/>
    <xf numFmtId="0" fontId="77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7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0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70" fillId="7" borderId="0" applyNumberFormat="0" applyBorder="0" applyAlignment="0" applyProtection="0"/>
    <xf numFmtId="176" fontId="60" fillId="0" borderId="0"/>
    <xf numFmtId="183" fontId="60" fillId="0" borderId="0"/>
    <xf numFmtId="176" fontId="60" fillId="0" borderId="0"/>
    <xf numFmtId="0" fontId="60" fillId="0" borderId="0"/>
    <xf numFmtId="9" fontId="60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3" fillId="5" borderId="53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3" fillId="5" borderId="53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29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70" fillId="9" borderId="59" applyNumberFormat="0" applyFont="0" applyAlignment="0" applyProtection="0"/>
    <xf numFmtId="0" fontId="92" fillId="13" borderId="58" applyNumberFormat="0" applyAlignment="0" applyProtection="0"/>
    <xf numFmtId="0" fontId="10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5" fillId="7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29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70" fillId="9" borderId="59" applyNumberFormat="0" applyFont="0" applyAlignment="0" applyProtection="0"/>
    <xf numFmtId="0" fontId="92" fillId="13" borderId="58" applyNumberFormat="0" applyAlignment="0" applyProtection="0"/>
    <xf numFmtId="0" fontId="10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7" fillId="9" borderId="59" applyNumberFormat="0" applyFont="0" applyAlignment="0" applyProtection="0"/>
    <xf numFmtId="0" fontId="77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7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0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176" fontId="60" fillId="0" borderId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60" fillId="0" borderId="0"/>
    <xf numFmtId="43" fontId="32" fillId="0" borderId="0" applyFont="0" applyFill="0" applyBorder="0" applyAlignment="0" applyProtection="0"/>
    <xf numFmtId="0" fontId="32" fillId="0" borderId="0"/>
    <xf numFmtId="43" fontId="60" fillId="0" borderId="0" applyFont="0" applyFill="0" applyBorder="0" applyAlignment="0" applyProtection="0"/>
    <xf numFmtId="0" fontId="6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169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25" fillId="0" borderId="0"/>
    <xf numFmtId="0" fontId="25" fillId="0" borderId="0"/>
    <xf numFmtId="0" fontId="152" fillId="0" borderId="0" applyNumberFormat="0" applyFill="0" applyBorder="0" applyAlignment="0" applyProtection="0"/>
    <xf numFmtId="0" fontId="116" fillId="0" borderId="17" applyNumberFormat="0" applyFill="0" applyAlignment="0" applyProtection="0"/>
    <xf numFmtId="0" fontId="117" fillId="0" borderId="18" applyNumberFormat="0" applyFill="0" applyAlignment="0" applyProtection="0"/>
    <xf numFmtId="0" fontId="118" fillId="0" borderId="19" applyNumberFormat="0" applyFill="0" applyAlignment="0" applyProtection="0"/>
    <xf numFmtId="0" fontId="118" fillId="0" borderId="0" applyNumberFormat="0" applyFill="0" applyBorder="0" applyAlignment="0" applyProtection="0"/>
    <xf numFmtId="0" fontId="119" fillId="28" borderId="0" applyNumberFormat="0" applyBorder="0" applyAlignment="0" applyProtection="0"/>
    <xf numFmtId="0" fontId="120" fillId="29" borderId="0" applyNumberFormat="0" applyBorder="0" applyAlignment="0" applyProtection="0"/>
    <xf numFmtId="0" fontId="121" fillId="30" borderId="0" applyNumberFormat="0" applyBorder="0" applyAlignment="0" applyProtection="0"/>
    <xf numFmtId="0" fontId="122" fillId="31" borderId="20" applyNumberFormat="0" applyAlignment="0" applyProtection="0"/>
    <xf numFmtId="0" fontId="123" fillId="32" borderId="21" applyNumberFormat="0" applyAlignment="0" applyProtection="0"/>
    <xf numFmtId="0" fontId="124" fillId="32" borderId="20" applyNumberFormat="0" applyAlignment="0" applyProtection="0"/>
    <xf numFmtId="0" fontId="125" fillId="0" borderId="22" applyNumberFormat="0" applyFill="0" applyAlignment="0" applyProtection="0"/>
    <xf numFmtId="0" fontId="88" fillId="33" borderId="23" applyNumberFormat="0" applyAlignment="0" applyProtection="0"/>
    <xf numFmtId="0" fontId="11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7" fillId="0" borderId="25" applyNumberFormat="0" applyFill="0" applyAlignment="0" applyProtection="0"/>
    <xf numFmtId="0" fontId="127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127" fillId="38" borderId="0" applyNumberFormat="0" applyBorder="0" applyAlignment="0" applyProtection="0"/>
    <xf numFmtId="0" fontId="127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127" fillId="42" borderId="0" applyNumberFormat="0" applyBorder="0" applyAlignment="0" applyProtection="0"/>
    <xf numFmtId="0" fontId="127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127" fillId="46" borderId="0" applyNumberFormat="0" applyBorder="0" applyAlignment="0" applyProtection="0"/>
    <xf numFmtId="0" fontId="127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127" fillId="50" borderId="0" applyNumberFormat="0" applyBorder="0" applyAlignment="0" applyProtection="0"/>
    <xf numFmtId="0" fontId="127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127" fillId="54" borderId="0" applyNumberFormat="0" applyBorder="0" applyAlignment="0" applyProtection="0"/>
    <xf numFmtId="0" fontId="127" fillId="55" borderId="0" applyNumberFormat="0" applyBorder="0" applyAlignment="0" applyProtection="0"/>
    <xf numFmtId="0" fontId="24" fillId="56" borderId="0" applyNumberFormat="0" applyBorder="0" applyAlignment="0" applyProtection="0"/>
    <xf numFmtId="0" fontId="24" fillId="57" borderId="0" applyNumberFormat="0" applyBorder="0" applyAlignment="0" applyProtection="0"/>
    <xf numFmtId="0" fontId="127" fillId="58" borderId="0" applyNumberFormat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4" borderId="2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34" borderId="24" applyNumberFormat="0" applyFont="0" applyAlignment="0" applyProtection="0"/>
    <xf numFmtId="0" fontId="23" fillId="0" borderId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0" borderId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2" fillId="34" borderId="24" applyNumberFormat="0" applyFont="0" applyAlignment="0" applyProtection="0"/>
    <xf numFmtId="0" fontId="22" fillId="0" borderId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34" borderId="24" applyNumberFormat="0" applyFont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54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34" borderId="24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8" fillId="0" borderId="0"/>
    <xf numFmtId="0" fontId="17" fillId="0" borderId="0"/>
    <xf numFmtId="0" fontId="8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43" fontId="77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44" fontId="86" fillId="0" borderId="0" applyFont="0" applyFill="0" applyBorder="0" applyAlignment="0" applyProtection="0"/>
    <xf numFmtId="0" fontId="11" fillId="0" borderId="0"/>
    <xf numFmtId="0" fontId="86" fillId="0" borderId="0"/>
    <xf numFmtId="0" fontId="86" fillId="0" borderId="0"/>
    <xf numFmtId="169" fontId="6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9" fillId="0" borderId="0"/>
    <xf numFmtId="43" fontId="8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70" fillId="0" borderId="0" applyFont="0" applyFill="0" applyBorder="0" applyAlignment="0" applyProtection="0"/>
    <xf numFmtId="0" fontId="6" fillId="0" borderId="0"/>
    <xf numFmtId="0" fontId="6" fillId="0" borderId="0"/>
    <xf numFmtId="0" fontId="128" fillId="0" borderId="0"/>
    <xf numFmtId="0" fontId="5" fillId="0" borderId="0"/>
    <xf numFmtId="0" fontId="77" fillId="0" borderId="0"/>
    <xf numFmtId="0" fontId="4" fillId="0" borderId="0"/>
    <xf numFmtId="0" fontId="3" fillId="0" borderId="0"/>
    <xf numFmtId="0" fontId="156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7" fillId="0" borderId="0"/>
    <xf numFmtId="169" fontId="1" fillId="0" borderId="0" applyFont="0" applyFill="0" applyBorder="0" applyAlignment="0" applyProtection="0"/>
    <xf numFmtId="0" fontId="1" fillId="0" borderId="0"/>
    <xf numFmtId="43" fontId="14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169" fontId="60" fillId="0" borderId="0" xfId="140" applyFont="1"/>
    <xf numFmtId="0" fontId="0" fillId="3" borderId="0" xfId="0" applyFill="1"/>
    <xf numFmtId="0" fontId="60" fillId="3" borderId="0" xfId="148" applyFill="1"/>
    <xf numFmtId="0" fontId="84" fillId="3" borderId="0" xfId="52341" applyFont="1" applyFill="1"/>
    <xf numFmtId="0" fontId="81" fillId="3" borderId="0" xfId="52341" applyFont="1" applyFill="1"/>
    <xf numFmtId="4" fontId="84" fillId="3" borderId="0" xfId="52341" applyNumberFormat="1" applyFont="1" applyFill="1"/>
    <xf numFmtId="0" fontId="141" fillId="3" borderId="0" xfId="182" applyFont="1" applyFill="1"/>
    <xf numFmtId="2" fontId="60" fillId="3" borderId="0" xfId="148" applyNumberFormat="1" applyFill="1"/>
    <xf numFmtId="0" fontId="60" fillId="3" borderId="0" xfId="52341" applyFont="1" applyFill="1"/>
    <xf numFmtId="10" fontId="60" fillId="3" borderId="0" xfId="68" applyNumberFormat="1" applyFont="1" applyFill="1"/>
    <xf numFmtId="169" fontId="60" fillId="3" borderId="0" xfId="140" applyFont="1" applyFill="1"/>
    <xf numFmtId="204" fontId="60" fillId="3" borderId="0" xfId="52341" applyNumberFormat="1" applyFont="1" applyFill="1"/>
    <xf numFmtId="0" fontId="60" fillId="3" borderId="0" xfId="52341" quotePrefix="1" applyFont="1" applyFill="1"/>
    <xf numFmtId="0" fontId="60" fillId="3" borderId="67" xfId="52341" applyFont="1" applyFill="1" applyBorder="1"/>
    <xf numFmtId="0" fontId="60" fillId="3" borderId="68" xfId="52341" applyFont="1" applyFill="1" applyBorder="1"/>
    <xf numFmtId="0" fontId="62" fillId="3" borderId="67" xfId="52341" applyFont="1" applyFill="1" applyBorder="1"/>
    <xf numFmtId="0" fontId="84" fillId="3" borderId="68" xfId="52341" applyFont="1" applyFill="1" applyBorder="1"/>
    <xf numFmtId="0" fontId="84" fillId="3" borderId="67" xfId="52341" applyFont="1" applyFill="1" applyBorder="1"/>
    <xf numFmtId="0" fontId="84" fillId="3" borderId="73" xfId="52341" applyFont="1" applyFill="1" applyBorder="1"/>
    <xf numFmtId="4" fontId="84" fillId="3" borderId="68" xfId="52341" applyNumberFormat="1" applyFont="1" applyFill="1" applyBorder="1"/>
    <xf numFmtId="4" fontId="62" fillId="3" borderId="68" xfId="52341" applyNumberFormat="1" applyFont="1" applyFill="1" applyBorder="1"/>
    <xf numFmtId="0" fontId="60" fillId="3" borderId="69" xfId="52341" applyFont="1" applyFill="1" applyBorder="1"/>
    <xf numFmtId="0" fontId="62" fillId="3" borderId="64" xfId="52341" applyFont="1" applyFill="1" applyBorder="1"/>
    <xf numFmtId="0" fontId="84" fillId="3" borderId="64" xfId="52341" applyFont="1" applyFill="1" applyBorder="1"/>
    <xf numFmtId="190" fontId="62" fillId="3" borderId="64" xfId="52341" applyNumberFormat="1" applyFont="1" applyFill="1" applyBorder="1" applyAlignment="1">
      <alignment horizontal="right" vertical="center"/>
    </xf>
    <xf numFmtId="0" fontId="60" fillId="3" borderId="70" xfId="52341" applyFont="1" applyFill="1" applyBorder="1"/>
    <xf numFmtId="0" fontId="84" fillId="3" borderId="85" xfId="52341" applyFont="1" applyFill="1" applyBorder="1"/>
    <xf numFmtId="0" fontId="84" fillId="3" borderId="84" xfId="52341" applyFont="1" applyFill="1" applyBorder="1" applyAlignment="1">
      <alignment horizontal="center"/>
    </xf>
    <xf numFmtId="169" fontId="84" fillId="3" borderId="84" xfId="140" applyFont="1" applyFill="1" applyBorder="1" applyAlignment="1">
      <alignment horizontal="center"/>
    </xf>
    <xf numFmtId="0" fontId="62" fillId="3" borderId="80" xfId="52341" applyFont="1" applyFill="1" applyBorder="1"/>
    <xf numFmtId="0" fontId="62" fillId="3" borderId="78" xfId="52341" applyFont="1" applyFill="1" applyBorder="1" applyAlignment="1">
      <alignment horizontal="center"/>
    </xf>
    <xf numFmtId="169" fontId="62" fillId="3" borderId="78" xfId="140" applyFont="1" applyFill="1" applyBorder="1" applyAlignment="1">
      <alignment horizontal="center"/>
    </xf>
    <xf numFmtId="169" fontId="62" fillId="3" borderId="79" xfId="140" applyFont="1" applyFill="1" applyBorder="1" applyAlignment="1">
      <alignment horizontal="center"/>
    </xf>
    <xf numFmtId="169" fontId="84" fillId="3" borderId="71" xfId="140" applyFont="1" applyFill="1" applyBorder="1" applyAlignment="1">
      <alignment horizontal="center"/>
    </xf>
    <xf numFmtId="169" fontId="62" fillId="3" borderId="81" xfId="140" applyFont="1" applyFill="1" applyBorder="1" applyAlignment="1">
      <alignment horizontal="center"/>
    </xf>
    <xf numFmtId="4" fontId="84" fillId="3" borderId="73" xfId="52341" applyNumberFormat="1" applyFont="1" applyFill="1" applyBorder="1"/>
    <xf numFmtId="10" fontId="84" fillId="3" borderId="73" xfId="52341" applyNumberFormat="1" applyFont="1" applyFill="1" applyBorder="1"/>
    <xf numFmtId="190" fontId="157" fillId="60" borderId="73" xfId="52341" applyNumberFormat="1" applyFont="1" applyFill="1" applyBorder="1" applyAlignment="1">
      <alignment horizontal="right" vertical="center"/>
    </xf>
    <xf numFmtId="0" fontId="60" fillId="3" borderId="74" xfId="148" applyFill="1" applyBorder="1"/>
    <xf numFmtId="0" fontId="155" fillId="3" borderId="0" xfId="52341" applyFont="1" applyFill="1" applyAlignment="1"/>
    <xf numFmtId="0" fontId="84" fillId="2" borderId="85" xfId="52341" applyFont="1" applyFill="1" applyBorder="1"/>
    <xf numFmtId="169" fontId="84" fillId="2" borderId="84" xfId="140" applyFont="1" applyFill="1" applyBorder="1" applyAlignment="1">
      <alignment horizontal="center"/>
    </xf>
    <xf numFmtId="0" fontId="84" fillId="2" borderId="84" xfId="52341" applyFont="1" applyFill="1" applyBorder="1" applyAlignment="1">
      <alignment horizontal="center"/>
    </xf>
    <xf numFmtId="169" fontId="84" fillId="2" borderId="71" xfId="140" applyFont="1" applyFill="1" applyBorder="1" applyAlignment="1">
      <alignment horizontal="center"/>
    </xf>
    <xf numFmtId="4" fontId="84" fillId="2" borderId="73" xfId="52341" applyNumberFormat="1" applyFont="1" applyFill="1" applyBorder="1"/>
    <xf numFmtId="10" fontId="62" fillId="2" borderId="73" xfId="68" applyNumberFormat="1" applyFont="1" applyFill="1" applyBorder="1" applyAlignment="1">
      <alignment horizontal="right" vertical="center"/>
    </xf>
    <xf numFmtId="169" fontId="84" fillId="3" borderId="72" xfId="140" applyFont="1" applyFill="1" applyBorder="1" applyAlignment="1">
      <alignment horizontal="center" vertical="center"/>
    </xf>
    <xf numFmtId="169" fontId="84" fillId="3" borderId="66" xfId="140" applyFont="1" applyFill="1" applyBorder="1" applyAlignment="1">
      <alignment horizontal="center" vertical="center"/>
    </xf>
    <xf numFmtId="169" fontId="84" fillId="3" borderId="62" xfId="140" applyFont="1" applyFill="1" applyBorder="1" applyAlignment="1">
      <alignment horizontal="center" vertical="center"/>
    </xf>
    <xf numFmtId="169" fontId="84" fillId="3" borderId="87" xfId="140" applyFont="1" applyFill="1" applyBorder="1" applyAlignment="1">
      <alignment horizontal="center" vertical="center"/>
    </xf>
    <xf numFmtId="0" fontId="157" fillId="60" borderId="86" xfId="52341" applyFont="1" applyFill="1" applyBorder="1" applyAlignment="1">
      <alignment horizontal="right"/>
    </xf>
    <xf numFmtId="0" fontId="62" fillId="3" borderId="86" xfId="52341" applyFont="1" applyFill="1" applyBorder="1" applyAlignment="1">
      <alignment horizontal="right"/>
    </xf>
    <xf numFmtId="0" fontId="63" fillId="3" borderId="83" xfId="148" applyFont="1" applyFill="1" applyBorder="1" applyAlignment="1">
      <alignment horizontal="center"/>
    </xf>
    <xf numFmtId="0" fontId="63" fillId="3" borderId="77" xfId="148" applyFont="1" applyFill="1" applyBorder="1" applyAlignment="1">
      <alignment horizontal="center"/>
    </xf>
    <xf numFmtId="0" fontId="157" fillId="62" borderId="73" xfId="52341" applyFont="1" applyFill="1" applyBorder="1" applyAlignment="1">
      <alignment horizontal="right"/>
    </xf>
    <xf numFmtId="0" fontId="157" fillId="60" borderId="73" xfId="52341" applyFont="1" applyFill="1" applyBorder="1" applyAlignment="1">
      <alignment horizontal="right"/>
    </xf>
    <xf numFmtId="0" fontId="153" fillId="61" borderId="74" xfId="52341" applyFont="1" applyFill="1" applyBorder="1" applyAlignment="1">
      <alignment horizontal="center"/>
    </xf>
    <xf numFmtId="0" fontId="153" fillId="61" borderId="65" xfId="52341" applyFont="1" applyFill="1" applyBorder="1" applyAlignment="1">
      <alignment horizontal="center"/>
    </xf>
    <xf numFmtId="0" fontId="153" fillId="61" borderId="77" xfId="52341" applyFont="1" applyFill="1" applyBorder="1" applyAlignment="1">
      <alignment horizontal="center"/>
    </xf>
    <xf numFmtId="0" fontId="157" fillId="60" borderId="73" xfId="52341" applyFont="1" applyFill="1" applyBorder="1" applyAlignment="1">
      <alignment horizontal="right" vertical="center"/>
    </xf>
    <xf numFmtId="0" fontId="62" fillId="3" borderId="63" xfId="52341" applyFont="1" applyFill="1" applyBorder="1" applyAlignment="1">
      <alignment horizontal="left"/>
    </xf>
    <xf numFmtId="0" fontId="62" fillId="3" borderId="86" xfId="52341" applyFont="1" applyFill="1" applyBorder="1" applyAlignment="1">
      <alignment horizontal="right" vertical="center"/>
    </xf>
    <xf numFmtId="0" fontId="84" fillId="3" borderId="85" xfId="52341" applyFont="1" applyFill="1" applyBorder="1" applyAlignment="1">
      <alignment horizontal="left" vertical="center"/>
    </xf>
    <xf numFmtId="0" fontId="62" fillId="3" borderId="82" xfId="52341" applyFont="1" applyFill="1" applyBorder="1" applyAlignment="1">
      <alignment horizontal="right"/>
    </xf>
    <xf numFmtId="0" fontId="62" fillId="3" borderId="75" xfId="52341" applyFont="1" applyFill="1" applyBorder="1" applyAlignment="1">
      <alignment horizontal="right"/>
    </xf>
    <xf numFmtId="0" fontId="62" fillId="3" borderId="76" xfId="52341" applyFont="1" applyFill="1" applyBorder="1" applyAlignment="1">
      <alignment horizontal="right"/>
    </xf>
    <xf numFmtId="0" fontId="157" fillId="62" borderId="73" xfId="52341" applyFont="1" applyFill="1" applyBorder="1" applyAlignment="1">
      <alignment horizontal="right" vertical="center"/>
    </xf>
    <xf numFmtId="0" fontId="157" fillId="60" borderId="86" xfId="52341" applyFont="1" applyFill="1" applyBorder="1" applyAlignment="1">
      <alignment horizontal="right" vertical="center"/>
    </xf>
  </cellXfs>
  <cellStyles count="52413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8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50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2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4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6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9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9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1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3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5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7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60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4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2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7"/>
    <cellStyle name="Normal 131" xfId="52345"/>
    <cellStyle name="Normal 132" xfId="52358"/>
    <cellStyle name="Normal 133" xfId="52344"/>
    <cellStyle name="Normal 134" xfId="52362"/>
    <cellStyle name="Normal 135" xfId="52364"/>
    <cellStyle name="Normal 136" xfId="52365"/>
    <cellStyle name="Normal 137" xfId="52366"/>
    <cellStyle name="Normal 138" xfId="52367"/>
    <cellStyle name="Normal 139" xfId="52368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9"/>
    <cellStyle name="Normal 141" xfId="52370"/>
    <cellStyle name="Normal 142" xfId="52371"/>
    <cellStyle name="Normal 143" xfId="52372"/>
    <cellStyle name="Normal 144" xfId="52373"/>
    <cellStyle name="Normal 145" xfId="52374"/>
    <cellStyle name="Normal 146" xfId="52375"/>
    <cellStyle name="Normal 147" xfId="52376"/>
    <cellStyle name="Normal 148" xfId="52380"/>
    <cellStyle name="Normal 149" xfId="52382"/>
    <cellStyle name="Normal 15" xfId="40"/>
    <cellStyle name="Normal 15 2" xfId="328"/>
    <cellStyle name="Normal 15 3" xfId="1494"/>
    <cellStyle name="Normal 15 4" xfId="1495"/>
    <cellStyle name="Normal 150" xfId="52386"/>
    <cellStyle name="Normal 151" xfId="52387"/>
    <cellStyle name="Normal 152" xfId="52391"/>
    <cellStyle name="Normal 153" xfId="52401"/>
    <cellStyle name="Normal 154" xfId="52394"/>
    <cellStyle name="Normal 155" xfId="52402"/>
    <cellStyle name="Normal 156" xfId="52404"/>
    <cellStyle name="Normal 157" xfId="52405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7 2" xfId="52400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3"/>
    <cellStyle name="Normal 2 2 5" xfId="52377"/>
    <cellStyle name="Normal 2 2 6" xfId="52397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2 2" xfId="52412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6 2" xfId="52408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1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3"/>
    <cellStyle name="Normal 3 36" xfId="52385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 2" xfId="52410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8"/>
    <cellStyle name="Normal 4 33" xfId="52403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6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3 2" xfId="52399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rmal_LAY OUT" xfId="52341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6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5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1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88"/>
    <cellStyle name="Vírgula 11" xfId="52197"/>
    <cellStyle name="Vírgula 11 2" xfId="52411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3"/>
    <cellStyle name="Vírgula 18" xfId="52379"/>
    <cellStyle name="Vírgula 19" xfId="52389"/>
    <cellStyle name="Vírgula 19 2" xfId="52393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90"/>
    <cellStyle name="Vírgula 21" xfId="52406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2 4" xfId="52407"/>
    <cellStyle name="Vírgula 4 2 3" xfId="3165"/>
    <cellStyle name="Vírgula 4 2 3 2" xfId="20648"/>
    <cellStyle name="Vírgula 4 2 4" xfId="18901"/>
    <cellStyle name="Vírgula 4 2 5" xfId="52409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8"/>
    <cellStyle name="Vírgula 4 8" xfId="52392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0"/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8">
    <tabColor theme="9" tint="0.39997558519241921"/>
  </sheetPr>
  <dimension ref="B1:M106"/>
  <sheetViews>
    <sheetView tabSelected="1" view="pageBreakPreview" topLeftCell="A7" zoomScaleNormal="100" zoomScaleSheetLayoutView="100" workbookViewId="0">
      <selection activeCell="C23" sqref="C23"/>
    </sheetView>
  </sheetViews>
  <sheetFormatPr defaultColWidth="8" defaultRowHeight="12.75"/>
  <cols>
    <col min="1" max="1" width="1.85546875" style="9" customWidth="1"/>
    <col min="2" max="2" width="16.42578125" style="9" customWidth="1"/>
    <col min="3" max="3" width="37.7109375" style="9" customWidth="1"/>
    <col min="4" max="4" width="21" style="9" customWidth="1"/>
    <col min="5" max="5" width="23.5703125" style="9" customWidth="1"/>
    <col min="6" max="6" width="22.28515625" style="9" customWidth="1"/>
    <col min="7" max="7" width="23.42578125" style="9" customWidth="1"/>
    <col min="8" max="8" width="22.85546875" style="9" customWidth="1"/>
    <col min="9" max="9" width="12.7109375" style="9" customWidth="1"/>
    <col min="10" max="10" width="2.42578125" style="9" customWidth="1"/>
    <col min="11" max="11" width="8" style="9"/>
    <col min="12" max="12" width="10.42578125" style="9" bestFit="1" customWidth="1"/>
    <col min="13" max="13" width="9.85546875" style="9" bestFit="1" customWidth="1"/>
    <col min="14" max="16384" width="8" style="9"/>
  </cols>
  <sheetData>
    <row r="1" spans="2:12" s="7" customFormat="1" ht="15.75" customHeight="1" thickBot="1"/>
    <row r="2" spans="2:12" s="3" customFormat="1" ht="14.25" thickTop="1" thickBot="1">
      <c r="B2" s="39"/>
      <c r="C2" s="53"/>
      <c r="D2" s="53"/>
      <c r="E2" s="53"/>
      <c r="F2" s="53"/>
      <c r="G2" s="53"/>
      <c r="H2" s="53"/>
      <c r="I2" s="54"/>
      <c r="L2" s="8"/>
    </row>
    <row r="3" spans="2:12" ht="19.5" thickTop="1" thickBot="1">
      <c r="B3" s="57" t="s">
        <v>33</v>
      </c>
      <c r="C3" s="58"/>
      <c r="D3" s="58"/>
      <c r="E3" s="58"/>
      <c r="F3" s="58"/>
      <c r="G3" s="58"/>
      <c r="H3" s="58"/>
      <c r="I3" s="59"/>
    </row>
    <row r="4" spans="2:12" ht="13.5" thickTop="1">
      <c r="B4" s="14"/>
      <c r="I4" s="15"/>
    </row>
    <row r="5" spans="2:12" ht="15.75">
      <c r="B5" s="16" t="s">
        <v>18</v>
      </c>
      <c r="C5" s="4"/>
      <c r="D5" s="4"/>
      <c r="E5" s="4"/>
      <c r="F5" s="4"/>
      <c r="G5" s="4"/>
      <c r="H5" s="4"/>
      <c r="I5" s="17"/>
    </row>
    <row r="6" spans="2:12" ht="15.75" customHeight="1" thickBot="1">
      <c r="B6" s="18"/>
      <c r="C6" s="4"/>
      <c r="D6" s="4"/>
      <c r="E6" s="4"/>
      <c r="F6" s="4"/>
      <c r="G6" s="4"/>
      <c r="H6" s="4"/>
      <c r="I6" s="17"/>
    </row>
    <row r="7" spans="2:12" ht="15" customHeight="1" thickTop="1">
      <c r="B7" s="18"/>
      <c r="C7" s="30" t="s">
        <v>2</v>
      </c>
      <c r="D7" s="31" t="s">
        <v>9</v>
      </c>
      <c r="E7" s="31" t="s">
        <v>10</v>
      </c>
      <c r="F7" s="32" t="s">
        <v>0</v>
      </c>
      <c r="G7" s="32" t="s">
        <v>19</v>
      </c>
      <c r="H7" s="33" t="s">
        <v>20</v>
      </c>
      <c r="I7" s="17"/>
    </row>
    <row r="8" spans="2:12" ht="15" customHeight="1">
      <c r="B8" s="18"/>
      <c r="C8" s="27" t="s">
        <v>21</v>
      </c>
      <c r="D8" s="29">
        <v>29.74</v>
      </c>
      <c r="E8" s="28" t="s">
        <v>16</v>
      </c>
      <c r="F8" s="29">
        <v>1</v>
      </c>
      <c r="G8" s="29"/>
      <c r="H8" s="34">
        <f>G8*F8</f>
        <v>0</v>
      </c>
      <c r="I8" s="17"/>
    </row>
    <row r="9" spans="2:12" ht="15" customHeight="1">
      <c r="B9" s="18"/>
      <c r="C9" s="63" t="s">
        <v>3</v>
      </c>
      <c r="D9" s="50">
        <v>59.44</v>
      </c>
      <c r="E9" s="28" t="s">
        <v>13</v>
      </c>
      <c r="F9" s="29">
        <v>1</v>
      </c>
      <c r="G9" s="29"/>
      <c r="H9" s="34">
        <f t="shared" ref="H9:H20" si="0">G9*F9</f>
        <v>0</v>
      </c>
      <c r="I9" s="17"/>
    </row>
    <row r="10" spans="2:12" ht="15" customHeight="1">
      <c r="B10" s="18"/>
      <c r="C10" s="63"/>
      <c r="D10" s="49"/>
      <c r="E10" s="28" t="s">
        <v>14</v>
      </c>
      <c r="F10" s="29">
        <v>1</v>
      </c>
      <c r="G10" s="29"/>
      <c r="H10" s="34">
        <f t="shared" si="0"/>
        <v>0</v>
      </c>
      <c r="I10" s="17"/>
    </row>
    <row r="11" spans="2:12" ht="15" customHeight="1">
      <c r="B11" s="18"/>
      <c r="C11" s="27" t="s">
        <v>4</v>
      </c>
      <c r="D11" s="29">
        <v>44.58</v>
      </c>
      <c r="E11" s="28" t="s">
        <v>15</v>
      </c>
      <c r="F11" s="29">
        <v>3</v>
      </c>
      <c r="G11" s="29"/>
      <c r="H11" s="34">
        <f t="shared" si="0"/>
        <v>0</v>
      </c>
      <c r="I11" s="17"/>
    </row>
    <row r="12" spans="2:12" ht="15.75" customHeight="1">
      <c r="B12" s="18"/>
      <c r="C12" s="27" t="s">
        <v>22</v>
      </c>
      <c r="D12" s="29">
        <v>14.86</v>
      </c>
      <c r="E12" s="28" t="s">
        <v>11</v>
      </c>
      <c r="F12" s="29">
        <v>1</v>
      </c>
      <c r="G12" s="29"/>
      <c r="H12" s="34">
        <f t="shared" si="0"/>
        <v>0</v>
      </c>
      <c r="I12" s="17"/>
    </row>
    <row r="13" spans="2:12" ht="15" customHeight="1">
      <c r="B13" s="18"/>
      <c r="C13" s="27" t="s">
        <v>23</v>
      </c>
      <c r="D13" s="29">
        <v>14.86</v>
      </c>
      <c r="E13" s="28" t="s">
        <v>15</v>
      </c>
      <c r="F13" s="29">
        <v>1</v>
      </c>
      <c r="G13" s="29"/>
      <c r="H13" s="34">
        <f t="shared" si="0"/>
        <v>0</v>
      </c>
      <c r="I13" s="17"/>
    </row>
    <row r="14" spans="2:12" ht="15" customHeight="1">
      <c r="B14" s="18"/>
      <c r="C14" s="41" t="s">
        <v>35</v>
      </c>
      <c r="D14" s="42">
        <v>29.74</v>
      </c>
      <c r="E14" s="43" t="s">
        <v>16</v>
      </c>
      <c r="F14" s="42">
        <v>1</v>
      </c>
      <c r="G14" s="42"/>
      <c r="H14" s="44">
        <f t="shared" si="0"/>
        <v>0</v>
      </c>
      <c r="I14" s="17"/>
    </row>
    <row r="15" spans="2:12" ht="15" customHeight="1">
      <c r="B15" s="18"/>
      <c r="C15" s="27" t="s">
        <v>5</v>
      </c>
      <c r="D15" s="29">
        <v>29.72</v>
      </c>
      <c r="E15" s="28" t="s">
        <v>13</v>
      </c>
      <c r="F15" s="29">
        <v>1</v>
      </c>
      <c r="G15" s="29"/>
      <c r="H15" s="34">
        <f t="shared" si="0"/>
        <v>0</v>
      </c>
      <c r="I15" s="17"/>
    </row>
    <row r="16" spans="2:12" ht="15" customHeight="1">
      <c r="B16" s="18"/>
      <c r="C16" s="27" t="s">
        <v>24</v>
      </c>
      <c r="D16" s="29">
        <v>29.72</v>
      </c>
      <c r="E16" s="28" t="s">
        <v>13</v>
      </c>
      <c r="F16" s="29">
        <v>1</v>
      </c>
      <c r="G16" s="29"/>
      <c r="H16" s="34">
        <f t="shared" si="0"/>
        <v>0</v>
      </c>
      <c r="I16" s="17"/>
    </row>
    <row r="17" spans="2:10" ht="15" customHeight="1">
      <c r="B17" s="18"/>
      <c r="C17" s="63" t="s">
        <v>6</v>
      </c>
      <c r="D17" s="47">
        <v>44.58</v>
      </c>
      <c r="E17" s="28" t="s">
        <v>12</v>
      </c>
      <c r="F17" s="29">
        <v>1</v>
      </c>
      <c r="G17" s="29"/>
      <c r="H17" s="34">
        <f t="shared" si="0"/>
        <v>0</v>
      </c>
      <c r="I17" s="17"/>
    </row>
    <row r="18" spans="2:10" ht="15" customHeight="1">
      <c r="B18" s="18"/>
      <c r="C18" s="63"/>
      <c r="D18" s="48"/>
      <c r="E18" s="28" t="s">
        <v>12</v>
      </c>
      <c r="F18" s="29">
        <v>1</v>
      </c>
      <c r="G18" s="29"/>
      <c r="H18" s="34">
        <f t="shared" si="0"/>
        <v>0</v>
      </c>
      <c r="I18" s="17"/>
    </row>
    <row r="19" spans="2:10" ht="15.75" customHeight="1">
      <c r="B19" s="18"/>
      <c r="C19" s="63"/>
      <c r="D19" s="49"/>
      <c r="E19" s="28" t="s">
        <v>15</v>
      </c>
      <c r="F19" s="29">
        <v>1</v>
      </c>
      <c r="G19" s="29"/>
      <c r="H19" s="34">
        <f t="shared" si="0"/>
        <v>0</v>
      </c>
      <c r="I19" s="17"/>
    </row>
    <row r="20" spans="2:10" ht="15" customHeight="1">
      <c r="B20" s="18"/>
      <c r="C20" s="27" t="s">
        <v>25</v>
      </c>
      <c r="D20" s="29">
        <v>7.44</v>
      </c>
      <c r="E20" s="28" t="s">
        <v>17</v>
      </c>
      <c r="F20" s="29">
        <v>1</v>
      </c>
      <c r="G20" s="29"/>
      <c r="H20" s="34">
        <f t="shared" si="0"/>
        <v>0</v>
      </c>
      <c r="I20" s="17"/>
    </row>
    <row r="21" spans="2:10" ht="16.5" thickBot="1">
      <c r="B21" s="18"/>
      <c r="C21" s="64" t="s">
        <v>26</v>
      </c>
      <c r="D21" s="65"/>
      <c r="E21" s="65"/>
      <c r="F21" s="65"/>
      <c r="G21" s="66"/>
      <c r="H21" s="35">
        <f>SUM(H8:H20)</f>
        <v>0</v>
      </c>
      <c r="I21" s="17"/>
    </row>
    <row r="22" spans="2:10" ht="15.75" thickTop="1">
      <c r="B22" s="18"/>
      <c r="C22" s="40" t="s">
        <v>41</v>
      </c>
      <c r="I22" s="15"/>
      <c r="J22" s="5"/>
    </row>
    <row r="23" spans="2:10" ht="15">
      <c r="B23" s="18"/>
      <c r="I23" s="15"/>
      <c r="J23" s="5"/>
    </row>
    <row r="24" spans="2:10" ht="15.75">
      <c r="B24" s="16" t="s">
        <v>40</v>
      </c>
      <c r="C24" s="4"/>
      <c r="D24" s="4"/>
      <c r="E24" s="4"/>
      <c r="F24" s="4"/>
      <c r="G24" s="4"/>
      <c r="H24" s="4"/>
      <c r="I24" s="20"/>
    </row>
    <row r="25" spans="2:10" ht="15">
      <c r="B25" s="14"/>
      <c r="C25" s="4"/>
      <c r="D25" s="6"/>
      <c r="E25" s="4"/>
      <c r="F25" s="4"/>
      <c r="G25" s="4"/>
      <c r="H25" s="4"/>
      <c r="I25" s="20"/>
    </row>
    <row r="26" spans="2:10" ht="15">
      <c r="B26" s="14"/>
      <c r="C26" s="19" t="s">
        <v>39</v>
      </c>
      <c r="D26" s="19"/>
      <c r="E26" s="19"/>
      <c r="F26" s="19"/>
      <c r="G26" s="19"/>
      <c r="H26" s="45"/>
      <c r="I26" s="20"/>
    </row>
    <row r="27" spans="2:10" ht="15">
      <c r="B27" s="14"/>
      <c r="C27" s="19" t="s">
        <v>36</v>
      </c>
      <c r="D27" s="19"/>
      <c r="E27" s="19"/>
      <c r="F27" s="19"/>
      <c r="G27" s="19"/>
      <c r="H27" s="36">
        <v>120</v>
      </c>
      <c r="I27" s="20"/>
    </row>
    <row r="28" spans="2:10" ht="15">
      <c r="B28" s="18"/>
      <c r="C28" s="19" t="s">
        <v>34</v>
      </c>
      <c r="D28" s="19"/>
      <c r="E28" s="19"/>
      <c r="F28" s="19"/>
      <c r="G28" s="19"/>
      <c r="H28" s="45"/>
      <c r="I28" s="20"/>
    </row>
    <row r="29" spans="2:10" ht="15">
      <c r="B29" s="18"/>
      <c r="C29" s="19" t="s">
        <v>32</v>
      </c>
      <c r="D29" s="19"/>
      <c r="E29" s="19"/>
      <c r="F29" s="19"/>
      <c r="G29" s="19"/>
      <c r="H29" s="36">
        <f>IF(1+(((H28)-200)/200)&lt;1,1,1+(((H28)-200)/200))</f>
        <v>1</v>
      </c>
      <c r="I29" s="20"/>
    </row>
    <row r="30" spans="2:10" ht="15">
      <c r="B30" s="18"/>
      <c r="C30" s="19" t="s">
        <v>27</v>
      </c>
      <c r="D30" s="19"/>
      <c r="E30" s="19"/>
      <c r="F30" s="19"/>
      <c r="G30" s="19"/>
      <c r="H30" s="36">
        <v>1.1100000000000001</v>
      </c>
      <c r="I30" s="20"/>
    </row>
    <row r="31" spans="2:10" ht="15.75">
      <c r="B31" s="16"/>
      <c r="C31" s="19" t="s">
        <v>38</v>
      </c>
      <c r="D31" s="19"/>
      <c r="E31" s="19"/>
      <c r="F31" s="19"/>
      <c r="G31" s="19"/>
      <c r="H31" s="36">
        <f>SUM(D8:D20)*2</f>
        <v>609.36</v>
      </c>
      <c r="I31" s="21"/>
    </row>
    <row r="32" spans="2:10" ht="15">
      <c r="B32" s="18"/>
      <c r="C32" s="19" t="s">
        <v>37</v>
      </c>
      <c r="D32" s="19"/>
      <c r="E32" s="19"/>
      <c r="F32" s="19"/>
      <c r="G32" s="19"/>
      <c r="H32" s="37">
        <v>0.03</v>
      </c>
      <c r="I32" s="20"/>
    </row>
    <row r="33" spans="2:13" ht="15">
      <c r="B33" s="18"/>
      <c r="C33" s="19" t="s">
        <v>30</v>
      </c>
      <c r="D33" s="19"/>
      <c r="E33" s="19"/>
      <c r="F33" s="19"/>
      <c r="G33" s="19"/>
      <c r="H33" s="45"/>
      <c r="I33" s="20"/>
    </row>
    <row r="34" spans="2:13" ht="15">
      <c r="B34" s="18"/>
      <c r="C34" s="19" t="s">
        <v>31</v>
      </c>
      <c r="D34" s="19"/>
      <c r="E34" s="19"/>
      <c r="F34" s="19"/>
      <c r="G34" s="19"/>
      <c r="H34" s="45"/>
      <c r="I34" s="20"/>
    </row>
    <row r="35" spans="2:13" ht="15.75">
      <c r="B35" s="18"/>
      <c r="C35" s="61"/>
      <c r="D35" s="61"/>
      <c r="E35" s="61"/>
      <c r="F35" s="61"/>
      <c r="G35" s="61"/>
      <c r="H35" s="2"/>
      <c r="I35" s="20"/>
    </row>
    <row r="36" spans="2:13" ht="15.75">
      <c r="B36" s="18"/>
      <c r="C36" s="67" t="s">
        <v>7</v>
      </c>
      <c r="D36" s="67"/>
      <c r="E36" s="67"/>
      <c r="F36" s="67"/>
      <c r="G36" s="67"/>
      <c r="H36" s="67"/>
      <c r="I36" s="20"/>
    </row>
    <row r="37" spans="2:13" ht="15.75">
      <c r="B37" s="18"/>
      <c r="C37" s="60" t="s">
        <v>28</v>
      </c>
      <c r="D37" s="60"/>
      <c r="E37" s="60"/>
      <c r="F37" s="60"/>
      <c r="G37" s="60"/>
      <c r="H37" s="38">
        <f>(H26/H27*($H$30*$H$21)+(H31*H32*H33))*H29</f>
        <v>0</v>
      </c>
      <c r="I37" s="20"/>
    </row>
    <row r="38" spans="2:13" ht="15.75">
      <c r="B38" s="18"/>
      <c r="C38" s="62" t="s">
        <v>1</v>
      </c>
      <c r="D38" s="62"/>
      <c r="E38" s="62"/>
      <c r="F38" s="62"/>
      <c r="G38" s="62"/>
      <c r="H38" s="46"/>
      <c r="I38" s="20"/>
      <c r="L38" s="10"/>
      <c r="M38" s="11"/>
    </row>
    <row r="39" spans="2:13" ht="15.75">
      <c r="B39" s="18"/>
      <c r="C39" s="68" t="s">
        <v>29</v>
      </c>
      <c r="D39" s="68"/>
      <c r="E39" s="68"/>
      <c r="F39" s="68"/>
      <c r="G39" s="68"/>
      <c r="H39" s="38">
        <f>TRUNC(H37*(1+H38),2)</f>
        <v>0</v>
      </c>
      <c r="I39" s="20"/>
      <c r="L39" s="10"/>
      <c r="M39" s="11"/>
    </row>
    <row r="40" spans="2:13" ht="15.75">
      <c r="B40" s="18"/>
      <c r="C40" s="61"/>
      <c r="D40" s="61"/>
      <c r="E40" s="61"/>
      <c r="F40" s="61"/>
      <c r="G40" s="61"/>
      <c r="H40" s="2"/>
      <c r="I40" s="20"/>
    </row>
    <row r="41" spans="2:13" ht="15.75">
      <c r="B41" s="18"/>
      <c r="C41" s="55" t="s">
        <v>8</v>
      </c>
      <c r="D41" s="55"/>
      <c r="E41" s="55"/>
      <c r="F41" s="55"/>
      <c r="G41" s="55"/>
      <c r="H41" s="55"/>
      <c r="I41" s="20"/>
    </row>
    <row r="42" spans="2:13" ht="15.75">
      <c r="B42" s="18"/>
      <c r="C42" s="56" t="s">
        <v>28</v>
      </c>
      <c r="D42" s="56"/>
      <c r="E42" s="56"/>
      <c r="F42" s="56"/>
      <c r="G42" s="56"/>
      <c r="H42" s="38">
        <f>(H26/H27*($H$30*$H$21)+(H31*H32*H34))*H29</f>
        <v>0</v>
      </c>
      <c r="I42" s="20"/>
    </row>
    <row r="43" spans="2:13" ht="15.75">
      <c r="B43" s="18"/>
      <c r="C43" s="52" t="s">
        <v>1</v>
      </c>
      <c r="D43" s="52"/>
      <c r="E43" s="52"/>
      <c r="F43" s="52"/>
      <c r="G43" s="52"/>
      <c r="H43" s="46"/>
      <c r="I43" s="20"/>
      <c r="L43" s="10"/>
      <c r="M43" s="11"/>
    </row>
    <row r="44" spans="2:13" ht="15.75">
      <c r="B44" s="18"/>
      <c r="C44" s="51" t="s">
        <v>29</v>
      </c>
      <c r="D44" s="51"/>
      <c r="E44" s="51"/>
      <c r="F44" s="51"/>
      <c r="G44" s="51"/>
      <c r="H44" s="38">
        <f>TRUNC(H42*(1+H43),2)</f>
        <v>0</v>
      </c>
      <c r="I44" s="20"/>
      <c r="L44" s="10"/>
      <c r="M44" s="11"/>
    </row>
    <row r="45" spans="2:13" ht="13.5" customHeight="1" thickBot="1">
      <c r="B45" s="22"/>
      <c r="C45" s="23"/>
      <c r="D45" s="24"/>
      <c r="E45" s="24"/>
      <c r="F45" s="24"/>
      <c r="G45" s="25"/>
      <c r="H45" s="24"/>
      <c r="I45" s="26"/>
    </row>
    <row r="46" spans="2:13" ht="15.75" thickTop="1">
      <c r="C46" s="4"/>
      <c r="D46" s="4"/>
      <c r="E46" s="4"/>
      <c r="F46" s="4"/>
      <c r="G46" s="4"/>
    </row>
    <row r="47" spans="2:13" ht="15">
      <c r="B47" s="4"/>
      <c r="C47" s="4"/>
      <c r="D47" s="4"/>
      <c r="E47" s="4"/>
      <c r="F47" s="4"/>
      <c r="G47" s="4"/>
      <c r="H47" s="4"/>
      <c r="I47" s="6"/>
    </row>
    <row r="48" spans="2:13" ht="15">
      <c r="B48" s="4"/>
      <c r="C48" s="4"/>
      <c r="D48" s="4"/>
      <c r="E48" s="4"/>
      <c r="F48" s="1"/>
      <c r="G48" s="4"/>
      <c r="H48" s="4"/>
      <c r="I48" s="6"/>
    </row>
    <row r="49" spans="6:7">
      <c r="F49" s="1"/>
    </row>
    <row r="50" spans="6:7">
      <c r="G50" s="12"/>
    </row>
    <row r="106" spans="2:2">
      <c r="B106" s="13"/>
    </row>
  </sheetData>
  <mergeCells count="17">
    <mergeCell ref="C39:G39"/>
    <mergeCell ref="D17:D19"/>
    <mergeCell ref="D9:D10"/>
    <mergeCell ref="C44:G44"/>
    <mergeCell ref="C43:G43"/>
    <mergeCell ref="C2:I2"/>
    <mergeCell ref="C41:H41"/>
    <mergeCell ref="C42:G42"/>
    <mergeCell ref="B3:I3"/>
    <mergeCell ref="C37:G37"/>
    <mergeCell ref="C40:G40"/>
    <mergeCell ref="C38:G38"/>
    <mergeCell ref="C9:C10"/>
    <mergeCell ref="C17:C19"/>
    <mergeCell ref="C21:G21"/>
    <mergeCell ref="C35:G35"/>
    <mergeCell ref="C36:H3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7" fitToHeight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CANTEIRO_CONTEINER</vt:lpstr>
      <vt:lpstr>CANTEIRO_CONTEINER!Area_de_impressao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2026-04-01T19:00:58Z</dcterms:modified>
</cp:coreProperties>
</file>