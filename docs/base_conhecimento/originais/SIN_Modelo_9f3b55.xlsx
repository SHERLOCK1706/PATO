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DURACAO_SERVICOS" sheetId="719" r:id="rId1"/>
    <sheet name="TEMPO_PROJETO_TIPO" sheetId="722" r:id="rId2"/>
    <sheet name="UN_DIA" sheetId="721" r:id="rId3"/>
    <sheet name="SERV_SIN" sheetId="723" r:id="rId4"/>
  </sheet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localSheetId="3" hidden="1">#REF!</definedName>
    <definedName name="__1__123Graph_A__200__BPF" hidden="1">#REF!</definedName>
    <definedName name="__1__123Graph_ACHART_1" localSheetId="3" hidden="1">#REF!</definedName>
    <definedName name="__1__123Graph_ACHART_1" hidden="1">#REF!</definedName>
    <definedName name="__10__123Graph_BCHART_9" localSheetId="3" hidden="1">#REF!</definedName>
    <definedName name="__10__123Graph_BCHART_9" hidden="1">#REF!</definedName>
    <definedName name="__10__123Graph_C__200__D50" localSheetId="3" hidden="1">#REF!</definedName>
    <definedName name="__10__123Graph_C__200__D50" hidden="1">#REF!</definedName>
    <definedName name="__11__123Graph_CGRANULOMETRIA_1" localSheetId="3" hidden="1">#REF!</definedName>
    <definedName name="__11__123Graph_CGRANULOMETRIA_1" hidden="1">#REF!</definedName>
    <definedName name="__11__123Graph_LBL_ACHART_2" localSheetId="3" hidden="1">#REF!</definedName>
    <definedName name="__11__123Graph_LBL_ACHART_2" hidden="1">#REF!</definedName>
    <definedName name="__12__123Graph_D__200__BPF" localSheetId="3" hidden="1">#REF!</definedName>
    <definedName name="__12__123Graph_D__200__BPF" hidden="1">#REF!</definedName>
    <definedName name="__12__123Graph_LBL_ACHART_3" localSheetId="3" hidden="1">#REF!</definedName>
    <definedName name="__12__123Graph_LBL_ACHART_3" hidden="1">#REF!</definedName>
    <definedName name="__123Graph_A" localSheetId="3" hidden="1">#REF!</definedName>
    <definedName name="__123Graph_A" hidden="1">#REF!</definedName>
    <definedName name="__123Graph_AGraph1" localSheetId="3" hidden="1">#REF!</definedName>
    <definedName name="__123Graph_AGraph1" hidden="1">#REF!</definedName>
    <definedName name="__123Graph_AGraph10" localSheetId="3" hidden="1">#REF!</definedName>
    <definedName name="__123Graph_AGraph10" hidden="1">#REF!</definedName>
    <definedName name="__123Graph_AGraph11" localSheetId="3" hidden="1">#REF!</definedName>
    <definedName name="__123Graph_AGraph11" hidden="1">#REF!</definedName>
    <definedName name="__123Graph_AGraph12" localSheetId="3" hidden="1">#REF!</definedName>
    <definedName name="__123Graph_AGraph12" hidden="1">#REF!</definedName>
    <definedName name="__123Graph_AGraph2" localSheetId="3" hidden="1">#REF!</definedName>
    <definedName name="__123Graph_AGraph2" hidden="1">#REF!</definedName>
    <definedName name="__123Graph_AGraph3" localSheetId="3" hidden="1">#REF!</definedName>
    <definedName name="__123Graph_AGraph3" hidden="1">#REF!</definedName>
    <definedName name="__123Graph_AGraph4" localSheetId="3" hidden="1">#REF!</definedName>
    <definedName name="__123Graph_AGraph4" hidden="1">#REF!</definedName>
    <definedName name="__123Graph_AGraph5" localSheetId="3" hidden="1">#REF!</definedName>
    <definedName name="__123Graph_AGraph5" hidden="1">#REF!</definedName>
    <definedName name="__123Graph_AGraph6" localSheetId="3" hidden="1">#REF!</definedName>
    <definedName name="__123Graph_AGraph6" hidden="1">#REF!</definedName>
    <definedName name="__123Graph_AGraph7" localSheetId="3" hidden="1">#REF!</definedName>
    <definedName name="__123Graph_AGraph7" hidden="1">#REF!</definedName>
    <definedName name="__123Graph_AGraph8" localSheetId="3" hidden="1">#REF!</definedName>
    <definedName name="__123Graph_AGraph8" hidden="1">#REF!</definedName>
    <definedName name="__123Graph_AGraph9" localSheetId="3" hidden="1">#REF!</definedName>
    <definedName name="__123Graph_AGraph9" hidden="1">#REF!</definedName>
    <definedName name="__123Graph_ASIDECO" localSheetId="3" hidden="1">#REF!</definedName>
    <definedName name="__123Graph_ASIDECO" hidden="1">#REF!</definedName>
    <definedName name="__123Graph_B" localSheetId="3" hidden="1">#REF!</definedName>
    <definedName name="__123Graph_B" hidden="1">#REF!</definedName>
    <definedName name="__123Graph_BGraph1" localSheetId="3" hidden="1">#REF!</definedName>
    <definedName name="__123Graph_BGraph1" hidden="1">#REF!</definedName>
    <definedName name="__123Graph_BGraph10" localSheetId="3" hidden="1">#REF!</definedName>
    <definedName name="__123Graph_BGraph10" hidden="1">#REF!</definedName>
    <definedName name="__123Graph_BGraph11" localSheetId="3" hidden="1">#REF!</definedName>
    <definedName name="__123Graph_BGraph11" hidden="1">#REF!</definedName>
    <definedName name="__123Graph_BGraph12" localSheetId="3" hidden="1">#REF!</definedName>
    <definedName name="__123Graph_BGraph12" hidden="1">#REF!</definedName>
    <definedName name="__123Graph_BGraph2" localSheetId="3" hidden="1">#REF!</definedName>
    <definedName name="__123Graph_BGraph2" hidden="1">#REF!</definedName>
    <definedName name="__123Graph_BGraph3" localSheetId="3" hidden="1">#REF!</definedName>
    <definedName name="__123Graph_BGraph3" hidden="1">#REF!</definedName>
    <definedName name="__123Graph_BGraph4" localSheetId="3" hidden="1">#REF!</definedName>
    <definedName name="__123Graph_BGraph4" hidden="1">#REF!</definedName>
    <definedName name="__123Graph_BGraph5" localSheetId="3" hidden="1">#REF!</definedName>
    <definedName name="__123Graph_BGraph5" hidden="1">#REF!</definedName>
    <definedName name="__123Graph_BGraph6" localSheetId="3" hidden="1">#REF!</definedName>
    <definedName name="__123Graph_BGraph6" hidden="1">#REF!</definedName>
    <definedName name="__123Graph_BGraph7" localSheetId="3" hidden="1">#REF!</definedName>
    <definedName name="__123Graph_BGraph7" hidden="1">#REF!</definedName>
    <definedName name="__123Graph_BGraph8" localSheetId="3" hidden="1">#REF!</definedName>
    <definedName name="__123Graph_BGraph8" hidden="1">#REF!</definedName>
    <definedName name="__123Graph_BGraph9" localSheetId="3" hidden="1">#REF!</definedName>
    <definedName name="__123Graph_BGraph9" hidden="1">#REF!</definedName>
    <definedName name="__123Graph_BSIDECO" localSheetId="3" hidden="1">#REF!</definedName>
    <definedName name="__123Graph_BSIDECO" hidden="1">#REF!</definedName>
    <definedName name="__123Graph_C" localSheetId="3" hidden="1">#REF!</definedName>
    <definedName name="__123Graph_C" hidden="1">#REF!</definedName>
    <definedName name="__123Graph_CGraph7" localSheetId="3" hidden="1">#REF!</definedName>
    <definedName name="__123Graph_CGraph7" hidden="1">#REF!</definedName>
    <definedName name="__123Graph_CGraph8" localSheetId="3" hidden="1">#REF!</definedName>
    <definedName name="__123Graph_CGraph8" hidden="1">#REF!</definedName>
    <definedName name="__123Graph_CSIDECO" localSheetId="3" hidden="1">#REF!</definedName>
    <definedName name="__123Graph_CSIDECO" hidden="1">#REF!</definedName>
    <definedName name="__123Graph_D" localSheetId="3" hidden="1">#REF!</definedName>
    <definedName name="__123Graph_D" hidden="1">#REF!</definedName>
    <definedName name="__123Graph_DGraph7" localSheetId="3" hidden="1">#REF!</definedName>
    <definedName name="__123Graph_DGraph7" hidden="1">#REF!</definedName>
    <definedName name="__123Graph_DGraph8" localSheetId="3" hidden="1">#REF!</definedName>
    <definedName name="__123Graph_DGraph8" hidden="1">#REF!</definedName>
    <definedName name="__123Graph_E" localSheetId="3" hidden="1">#REF!</definedName>
    <definedName name="__123Graph_E" hidden="1">#REF!</definedName>
    <definedName name="__123Graph_EGraph7" localSheetId="3" hidden="1">#REF!</definedName>
    <definedName name="__123Graph_EGraph7" hidden="1">#REF!</definedName>
    <definedName name="__123Graph_EGraph8" localSheetId="3" hidden="1">#REF!</definedName>
    <definedName name="__123Graph_EGraph8" hidden="1">#REF!</definedName>
    <definedName name="__123Graph_F" localSheetId="3" hidden="1">#REF!</definedName>
    <definedName name="__123Graph_F" hidden="1">#REF!</definedName>
    <definedName name="__123Graph_X" localSheetId="3" hidden="1">#REF!</definedName>
    <definedName name="__123Graph_X" hidden="1">#REF!</definedName>
    <definedName name="__123Graph_XGraph1" localSheetId="3" hidden="1">#REF!</definedName>
    <definedName name="__123Graph_XGraph1" hidden="1">#REF!</definedName>
    <definedName name="__123Graph_XGraph10" localSheetId="3" hidden="1">#REF!</definedName>
    <definedName name="__123Graph_XGraph10" hidden="1">#REF!</definedName>
    <definedName name="__123Graph_XGraph11" localSheetId="3" hidden="1">#REF!</definedName>
    <definedName name="__123Graph_XGraph11" hidden="1">#REF!</definedName>
    <definedName name="__123Graph_XGraph12" localSheetId="3" hidden="1">#REF!</definedName>
    <definedName name="__123Graph_XGraph12" hidden="1">#REF!</definedName>
    <definedName name="__123Graph_XGraph2" localSheetId="3" hidden="1">#REF!</definedName>
    <definedName name="__123Graph_XGraph2" hidden="1">#REF!</definedName>
    <definedName name="__123Graph_XGraph3" localSheetId="3" hidden="1">#REF!</definedName>
    <definedName name="__123Graph_XGraph3" hidden="1">#REF!</definedName>
    <definedName name="__123Graph_XGraph4" localSheetId="3" hidden="1">#REF!</definedName>
    <definedName name="__123Graph_XGraph4" hidden="1">#REF!</definedName>
    <definedName name="__123Graph_XGraph5" localSheetId="3" hidden="1">#REF!</definedName>
    <definedName name="__123Graph_XGraph5" hidden="1">#REF!</definedName>
    <definedName name="__123Graph_XGraph6" localSheetId="3" hidden="1">#REF!</definedName>
    <definedName name="__123Graph_XGraph6" hidden="1">#REF!</definedName>
    <definedName name="__123Graph_XGraph7" localSheetId="3" hidden="1">#REF!</definedName>
    <definedName name="__123Graph_XGraph7" hidden="1">#REF!</definedName>
    <definedName name="__123Graph_XGraph8" localSheetId="3" hidden="1">#REF!</definedName>
    <definedName name="__123Graph_XGraph8" hidden="1">#REF!</definedName>
    <definedName name="__123Graph_XGraph9" localSheetId="3" hidden="1">#REF!</definedName>
    <definedName name="__123Graph_XGraph9" hidden="1">#REF!</definedName>
    <definedName name="__123Graph_XSIDECO" localSheetId="3" hidden="1">#REF!</definedName>
    <definedName name="__123Graph_XSIDECO" hidden="1">#REF!</definedName>
    <definedName name="__13__123Graph_D__200__D50" localSheetId="3" hidden="1">#REF!</definedName>
    <definedName name="__13__123Graph_D__200__D50" hidden="1">#REF!</definedName>
    <definedName name="__13__123Graph_LBL_ACHART_7" localSheetId="3" hidden="1">#REF!</definedName>
    <definedName name="__13__123Graph_LBL_ACHART_7" hidden="1">#REF!</definedName>
    <definedName name="__14__123Graph_E__200__BPF" localSheetId="3" hidden="1">#REF!</definedName>
    <definedName name="__14__123Graph_E__200__BPF" hidden="1">#REF!</definedName>
    <definedName name="__14__123Graph_LBL_ACHART_8" localSheetId="3" hidden="1">#REF!</definedName>
    <definedName name="__14__123Graph_LBL_ACHART_8" hidden="1">#REF!</definedName>
    <definedName name="__15__123Graph_E__200__D50" localSheetId="3" hidden="1">#REF!</definedName>
    <definedName name="__15__123Graph_E__200__D50" hidden="1">#REF!</definedName>
    <definedName name="__15__123Graph_LBL_BCHART_2" localSheetId="3" hidden="1">#REF!</definedName>
    <definedName name="__15__123Graph_LBL_BCHART_2" hidden="1">#REF!</definedName>
    <definedName name="__16__123Graph_F__200__BPF" localSheetId="3" hidden="1">#REF!</definedName>
    <definedName name="__16__123Graph_F__200__BPF" hidden="1">#REF!</definedName>
    <definedName name="__16__123Graph_LBL_BCHART_3" localSheetId="3" hidden="1">#REF!</definedName>
    <definedName name="__16__123Graph_LBL_BCHART_3" hidden="1">#REF!</definedName>
    <definedName name="__17__123Graph_F__200__D50" localSheetId="3" hidden="1">#REF!</definedName>
    <definedName name="__17__123Graph_F__200__D50" hidden="1">#REF!</definedName>
    <definedName name="__17__123Graph_XCHART_3" localSheetId="3" hidden="1">#REF!</definedName>
    <definedName name="__17__123Graph_XCHART_3" hidden="1">#REF!</definedName>
    <definedName name="__18__123Graph_X__200__BPF" localSheetId="3" hidden="1">#REF!</definedName>
    <definedName name="__18__123Graph_X__200__BPF" hidden="1">#REF!</definedName>
    <definedName name="__18__123Graph_XCHART_8" localSheetId="3" hidden="1">#REF!</definedName>
    <definedName name="__18__123Graph_XCHART_8" hidden="1">#REF!</definedName>
    <definedName name="__19__123Graph_X__200__D50" localSheetId="3" hidden="1">#REF!</definedName>
    <definedName name="__19__123Graph_X__200__D50" hidden="1">#REF!</definedName>
    <definedName name="__19__123Graph_XCHART_9" localSheetId="3" hidden="1">#REF!</definedName>
    <definedName name="__19__123Graph_XCHART_9" hidden="1">#REF!</definedName>
    <definedName name="__2__123Graph_A__200__D50" localSheetId="3" hidden="1">#REF!</definedName>
    <definedName name="__2__123Graph_A__200__D50" hidden="1">#REF!</definedName>
    <definedName name="__2__123Graph_ACHART_2" localSheetId="3" hidden="1">#REF!</definedName>
    <definedName name="__2__123Graph_ACHART_2" hidden="1">#REF!</definedName>
    <definedName name="__20__123Graph_XEFICIENCIA_1" localSheetId="3" hidden="1">#REF!</definedName>
    <definedName name="__20__123Graph_XEFICIENCIA_1" hidden="1">#REF!</definedName>
    <definedName name="__21__123Graph_XGRANULOMETRIA_1" localSheetId="3" hidden="1">#REF!</definedName>
    <definedName name="__21__123Graph_XGRANULOMETRIA_1" hidden="1">#REF!</definedName>
    <definedName name="__3__123Graph_ACHART_3" localSheetId="3" hidden="1">#REF!</definedName>
    <definedName name="__3__123Graph_ACHART_3" hidden="1">#REF!</definedName>
    <definedName name="__3__123Graph_AEFICIENCIA_1" localSheetId="3" hidden="1">#REF!</definedName>
    <definedName name="__3__123Graph_AEFICIENCIA_1" hidden="1">#REF!</definedName>
    <definedName name="__4__123Graph_ACHART_7" localSheetId="3" hidden="1">#REF!</definedName>
    <definedName name="__4__123Graph_ACHART_7" hidden="1">#REF!</definedName>
    <definedName name="__4__123Graph_AGRANULOMETRIA_1" localSheetId="3" hidden="1">#REF!</definedName>
    <definedName name="__4__123Graph_AGRANULOMETRIA_1" hidden="1">#REF!</definedName>
    <definedName name="__5__123Graph_ACHART_8" localSheetId="3" hidden="1">#REF!</definedName>
    <definedName name="__5__123Graph_ACHART_8" hidden="1">#REF!</definedName>
    <definedName name="__5__123Graph_B__200__BPF" localSheetId="3" hidden="1">#REF!</definedName>
    <definedName name="__5__123Graph_B__200__BPF" hidden="1">#REF!</definedName>
    <definedName name="__6__123Graph_ACHART_9" localSheetId="3" hidden="1">#REF!</definedName>
    <definedName name="__6__123Graph_ACHART_9" hidden="1">#REF!</definedName>
    <definedName name="__6__123Graph_B__200__D50" localSheetId="3" hidden="1">#REF!</definedName>
    <definedName name="__6__123Graph_B__200__D50" hidden="1">#REF!</definedName>
    <definedName name="__7__123Graph_BCHART_1" localSheetId="3" hidden="1">#REF!</definedName>
    <definedName name="__7__123Graph_BCHART_1" hidden="1">#REF!</definedName>
    <definedName name="__7__123Graph_BEFICIENCIA_1" localSheetId="3" hidden="1">#REF!</definedName>
    <definedName name="__7__123Graph_BEFICIENCIA_1" hidden="1">#REF!</definedName>
    <definedName name="__8__123Graph_BCHART_2" localSheetId="3" hidden="1">#REF!</definedName>
    <definedName name="__8__123Graph_BCHART_2" hidden="1">#REF!</definedName>
    <definedName name="__8__123Graph_BGRANULOMETRIA_1" localSheetId="3" hidden="1">#REF!</definedName>
    <definedName name="__8__123Graph_BGRANULOMETRIA_1" hidden="1">#REF!</definedName>
    <definedName name="__9__123Graph_BCHART_3" localSheetId="3" hidden="1">#REF!</definedName>
    <definedName name="__9__123Graph_BCHART_3" hidden="1">#REF!</definedName>
    <definedName name="__9__123Graph_C__200__BPF" localSheetId="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localSheetId="3" hidden="1">#REF!</definedName>
    <definedName name="_1__123Graph_A__200__BPF" hidden="1">#REF!</definedName>
    <definedName name="_1__123Graph_ACHART_1" localSheetId="3" hidden="1">#REF!</definedName>
    <definedName name="_1__123Graph_ACHART_1" hidden="1">#REF!</definedName>
    <definedName name="_10___123Graph_CCHART_1" localSheetId="3" hidden="1">#REF!</definedName>
    <definedName name="_10___123Graph_CCHART_1" hidden="1">#REF!</definedName>
    <definedName name="_10__123Graph_BCHART_9" localSheetId="3" hidden="1">#REF!</definedName>
    <definedName name="_10__123Graph_BCHART_9" hidden="1">#REF!</definedName>
    <definedName name="_10__123Graph_C__200__D50" localSheetId="3" hidden="1">#REF!</definedName>
    <definedName name="_10__123Graph_C__200__D50" hidden="1">#REF!</definedName>
    <definedName name="_10__123Graph_ECHART_1" localSheetId="3" hidden="1">#REF!</definedName>
    <definedName name="_10__123Graph_ECHART_1" hidden="1">#REF!</definedName>
    <definedName name="_11__123Graph_CGRANULOMETRIA_1" localSheetId="3" hidden="1">#REF!</definedName>
    <definedName name="_11__123Graph_CGRANULOMETRIA_1" hidden="1">#REF!</definedName>
    <definedName name="_11__123Graph_LBL_ACHART_2" localSheetId="3" hidden="1">#REF!</definedName>
    <definedName name="_11__123Graph_LBL_ACHART_2" hidden="1">#REF!</definedName>
    <definedName name="_12__123Graph_D__200__BPF" localSheetId="3" hidden="1">#REF!</definedName>
    <definedName name="_12__123Graph_D__200__BPF" hidden="1">#REF!</definedName>
    <definedName name="_12__123Graph_FCHART_1" localSheetId="3" hidden="1">#REF!</definedName>
    <definedName name="_12__123Graph_FCHART_1" hidden="1">#REF!</definedName>
    <definedName name="_12__123Graph_LBL_ACHART_3" localSheetId="3" hidden="1">#REF!</definedName>
    <definedName name="_12__123Graph_LBL_ACHART_3" hidden="1">#REF!</definedName>
    <definedName name="_123" hidden="1">{#N/A,#N/A,TRUE,"Serviços"}</definedName>
    <definedName name="_13___123Graph_DCHART_1" localSheetId="3" hidden="1">#REF!</definedName>
    <definedName name="_13___123Graph_DCHART_1" hidden="1">#REF!</definedName>
    <definedName name="_13__123Graph_D__200__D50" localSheetId="3" hidden="1">#REF!</definedName>
    <definedName name="_13__123Graph_D__200__D50" hidden="1">#REF!</definedName>
    <definedName name="_13__123Graph_LBL_ACHART_7" localSheetId="3" hidden="1">#REF!</definedName>
    <definedName name="_13__123Graph_LBL_ACHART_7" hidden="1">#REF!</definedName>
    <definedName name="_14__123Graph_E__200__BPF" localSheetId="3" hidden="1">#REF!</definedName>
    <definedName name="_14__123Graph_E__200__BPF" hidden="1">#REF!</definedName>
    <definedName name="_14__123Graph_LBL_ACHART_8" localSheetId="3" hidden="1">#REF!</definedName>
    <definedName name="_14__123Graph_LBL_ACHART_8" hidden="1">#REF!</definedName>
    <definedName name="_14__123Graph_XCHART_3" localSheetId="3" hidden="1">#REF!</definedName>
    <definedName name="_14__123Graph_XCHART_3" hidden="1">#REF!</definedName>
    <definedName name="_15__123Graph_E__200__D50" localSheetId="3" hidden="1">#REF!</definedName>
    <definedName name="_15__123Graph_E__200__D50" hidden="1">#REF!</definedName>
    <definedName name="_15__123Graph_LBL_BCHART_2" localSheetId="3" hidden="1">#REF!</definedName>
    <definedName name="_15__123Graph_LBL_BCHART_2" hidden="1">#REF!</definedName>
    <definedName name="_16___123Graph_ECHART_1" localSheetId="3" hidden="1">#REF!</definedName>
    <definedName name="_16___123Graph_ECHART_1" hidden="1">#REF!</definedName>
    <definedName name="_16__123Graph_F__200__BPF" localSheetId="3" hidden="1">#REF!</definedName>
    <definedName name="_16__123Graph_F__200__BPF" hidden="1">#REF!</definedName>
    <definedName name="_16__123Graph_LBL_BCHART_3" localSheetId="3" hidden="1">#REF!</definedName>
    <definedName name="_16__123Graph_LBL_BCHART_3" hidden="1">#REF!</definedName>
    <definedName name="_17__123Graph_F__200__D50" localSheetId="3" hidden="1">#REF!</definedName>
    <definedName name="_17__123Graph_F__200__D50" hidden="1">#REF!</definedName>
    <definedName name="_17__123Graph_XCHART_3" localSheetId="3" hidden="1">#REF!</definedName>
    <definedName name="_17__123Graph_XCHART_3" hidden="1">#REF!</definedName>
    <definedName name="_18__123Graph_X__200__BPF" localSheetId="3" hidden="1">#REF!</definedName>
    <definedName name="_18__123Graph_X__200__BPF" hidden="1">#REF!</definedName>
    <definedName name="_18__123Graph_XCHART_8" localSheetId="3" hidden="1">#REF!</definedName>
    <definedName name="_18__123Graph_XCHART_8" hidden="1">#REF!</definedName>
    <definedName name="_1830201" hidden="1">#N/A</definedName>
    <definedName name="_19___123Graph_FCHART_1" localSheetId="3" hidden="1">#REF!</definedName>
    <definedName name="_19___123Graph_FCHART_1" hidden="1">#REF!</definedName>
    <definedName name="_19__123Graph_X__200__D50" localSheetId="3" hidden="1">#REF!</definedName>
    <definedName name="_19__123Graph_X__200__D50" hidden="1">#REF!</definedName>
    <definedName name="_19__123Graph_XCHART_9" localSheetId="3" hidden="1">#REF!</definedName>
    <definedName name="_19__123Graph_XCHART_9" hidden="1">#REF!</definedName>
    <definedName name="_2__123Graph_A__200__D50" localSheetId="3" hidden="1">#REF!</definedName>
    <definedName name="_2__123Graph_A__200__D50" hidden="1">#REF!</definedName>
    <definedName name="_2__123Graph_ACHART_2" localSheetId="3" hidden="1">#REF!</definedName>
    <definedName name="_2__123Graph_ACHART_2" hidden="1">#REF!</definedName>
    <definedName name="_2__123Graph_ACHART_3" localSheetId="3" hidden="1">#REF!</definedName>
    <definedName name="_2__123Graph_ACHART_3" hidden="1">#REF!</definedName>
    <definedName name="_20__123Graph_XEFICIENCIA_1" localSheetId="3" hidden="1">#REF!</definedName>
    <definedName name="_20__123Graph_XEFICIENCIA_1" hidden="1">#REF!</definedName>
    <definedName name="_21__123Graph_XGRANULOMETRIA_1" localSheetId="3" hidden="1">#REF!</definedName>
    <definedName name="_21__123Graph_XGRANULOMETRIA_1" hidden="1">#REF!</definedName>
    <definedName name="_22___123Graph_XCHART_3" localSheetId="3" hidden="1">#REF!</definedName>
    <definedName name="_22___123Graph_XCHART_3" hidden="1">#REF!</definedName>
    <definedName name="_25__123Graph_ACHART_1" localSheetId="3" hidden="1">#REF!</definedName>
    <definedName name="_25__123Graph_ACHART_1" hidden="1">#REF!</definedName>
    <definedName name="_26__123Graph_ACHART_3" localSheetId="3" hidden="1">#REF!</definedName>
    <definedName name="_26__123Graph_ACHART_3" hidden="1">#REF!</definedName>
    <definedName name="_29__123Graph_BCHART_1" localSheetId="3" hidden="1">#REF!</definedName>
    <definedName name="_29__123Graph_BCHART_1" hidden="1">#REF!</definedName>
    <definedName name="_3___123Graph_ACHART_1" localSheetId="3" hidden="1">#REF!</definedName>
    <definedName name="_3___123Graph_ACHART_1" hidden="1">#REF!</definedName>
    <definedName name="_3__123Graph_ACHART_3" localSheetId="3" hidden="1">#REF!</definedName>
    <definedName name="_3__123Graph_ACHART_3" hidden="1">#REF!</definedName>
    <definedName name="_3__123Graph_AEFICIENCIA_1" localSheetId="3" hidden="1">#REF!</definedName>
    <definedName name="_3__123Graph_AEFICIENCIA_1" hidden="1">#REF!</definedName>
    <definedName name="_32__123Graph_CCHART_1" localSheetId="3" hidden="1">#REF!</definedName>
    <definedName name="_32__123Graph_CCHART_1" hidden="1">#REF!</definedName>
    <definedName name="_35__123Graph_DCHART_1" localSheetId="3" hidden="1">#REF!</definedName>
    <definedName name="_35__123Graph_DCHART_1" hidden="1">#REF!</definedName>
    <definedName name="_38__123Graph_ECHART_1" localSheetId="3" hidden="1">#REF!</definedName>
    <definedName name="_38__123Graph_ECHART_1" hidden="1">#REF!</definedName>
    <definedName name="_4___123Graph_ACHART_3" localSheetId="3" hidden="1">#REF!</definedName>
    <definedName name="_4___123Graph_ACHART_3" hidden="1">#REF!</definedName>
    <definedName name="_4__123Graph_ACHART_7" localSheetId="3" hidden="1">#REF!</definedName>
    <definedName name="_4__123Graph_ACHART_7" hidden="1">#REF!</definedName>
    <definedName name="_4__123Graph_AGRANULOMETRIA_1" localSheetId="3" hidden="1">#REF!</definedName>
    <definedName name="_4__123Graph_AGRANULOMETRIA_1" hidden="1">#REF!</definedName>
    <definedName name="_4__123Graph_BCHART_1" localSheetId="3" hidden="1">#REF!</definedName>
    <definedName name="_4__123Graph_BCHART_1" hidden="1">#REF!</definedName>
    <definedName name="_41__123Graph_FCHART_1" localSheetId="3" hidden="1">#REF!</definedName>
    <definedName name="_41__123Graph_FCHART_1" hidden="1">#REF!</definedName>
    <definedName name="_44__123Graph_XCHART_3" localSheetId="3" hidden="1">#REF!</definedName>
    <definedName name="_44__123Graph_XCHART_3" hidden="1">#REF!</definedName>
    <definedName name="_5__123Graph_ACHART_8" localSheetId="3" hidden="1">#REF!</definedName>
    <definedName name="_5__123Graph_ACHART_8" hidden="1">#REF!</definedName>
    <definedName name="_5__123Graph_B__200__BPF" localSheetId="3" hidden="1">#REF!</definedName>
    <definedName name="_5__123Graph_B__200__BPF" hidden="1">#REF!</definedName>
    <definedName name="_6__123Graph_ACHART_9" localSheetId="3" hidden="1">#REF!</definedName>
    <definedName name="_6__123Graph_ACHART_9" hidden="1">#REF!</definedName>
    <definedName name="_6__123Graph_B__200__D50" localSheetId="3" hidden="1">#REF!</definedName>
    <definedName name="_6__123Graph_B__200__D50" hidden="1">#REF!</definedName>
    <definedName name="_6__123Graph_CCHART_1" localSheetId="3" hidden="1">#REF!</definedName>
    <definedName name="_6__123Graph_CCHART_1" hidden="1">#REF!</definedName>
    <definedName name="_7___123Graph_BCHART_1" localSheetId="3" hidden="1">#REF!</definedName>
    <definedName name="_7___123Graph_BCHART_1" hidden="1">#REF!</definedName>
    <definedName name="_7__123Graph_BCHART_1" localSheetId="3" hidden="1">#REF!</definedName>
    <definedName name="_7__123Graph_BCHART_1" hidden="1">#REF!</definedName>
    <definedName name="_7__123Graph_BEFICIENCIA_1" localSheetId="3" hidden="1">#REF!</definedName>
    <definedName name="_7__123Graph_BEFICIENCIA_1" hidden="1">#REF!</definedName>
    <definedName name="_8__123Graph_BCHART_2" localSheetId="3" hidden="1">#REF!</definedName>
    <definedName name="_8__123Graph_BCHART_2" hidden="1">#REF!</definedName>
    <definedName name="_8__123Graph_BGRANULOMETRIA_1" localSheetId="3" hidden="1">#REF!</definedName>
    <definedName name="_8__123Graph_BGRANULOMETRIA_1" hidden="1">#REF!</definedName>
    <definedName name="_8__123Graph_DCHART_1" localSheetId="3" hidden="1">#REF!</definedName>
    <definedName name="_8__123Graph_DCHART_1" hidden="1">#REF!</definedName>
    <definedName name="_9__123Graph_BCHART_3" localSheetId="3" hidden="1">#REF!</definedName>
    <definedName name="_9__123Graph_BCHART_3" hidden="1">#REF!</definedName>
    <definedName name="_9__123Graph_C__200__BPF" localSheetId="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localSheetId="3" hidden="1">#REF!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localSheetId="3" hidden="1">#REF!</definedName>
    <definedName name="_Fill" hidden="1">#REF!</definedName>
    <definedName name="_fill1" localSheetId="3" hidden="1">#REF!</definedName>
    <definedName name="_fill1" hidden="1">#REF!</definedName>
    <definedName name="_xlnm._FilterDatabase" localSheetId="3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atInverse_In" localSheetId="3" hidden="1">#REF!</definedName>
    <definedName name="_MatInverse_In" hidden="1">#REF!</definedName>
    <definedName name="_MatInverse_Out" localSheetId="3" hidden="1">#REF!</definedName>
    <definedName name="_MatInverse_Out" hidden="1">#REF!</definedName>
    <definedName name="_MatMult_A" localSheetId="3" hidden="1">#REF!</definedName>
    <definedName name="_MatMult_A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localSheetId="3" hidden="1">#REF!</definedName>
    <definedName name="_Parse_On" hidden="1">#REF!</definedName>
    <definedName name="_Parse_Out" localSheetId="3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ort" localSheetId="3" hidden="1">#REF!</definedName>
    <definedName name="_Sort" hidden="1">#REF!</definedName>
    <definedName name="_Table2_In1" localSheetId="3" hidden="1">#REF!</definedName>
    <definedName name="_Table2_In1" hidden="1">#REF!</definedName>
    <definedName name="_Table2_In2" localSheetId="3" hidden="1">#REF!</definedName>
    <definedName name="_Table2_In2" hidden="1">#REF!</definedName>
    <definedName name="_Table2_Out" localSheetId="3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localSheetId="3" hidden="1">#REF!</definedName>
    <definedName name="aaaa" hidden="1">#REF!</definedName>
    <definedName name="aaaa1" hidden="1">{#N/A,#N/A,TRUE,"Serviços"}</definedName>
    <definedName name="aaaaa" hidden="1">{#N/A,#N/A,FALSE,"MO (2)"}</definedName>
    <definedName name="aaaaaaaaaa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0">DURACAO_SERVICOS!$A$1:$I$36</definedName>
    <definedName name="_xlnm.Print_Area" localSheetId="3">SERV_SIN!$A$1:$E$15</definedName>
    <definedName name="_xlnm.Print_Area" localSheetId="1">TEMPO_PROJETO_TIPO!$A$1:$H$9</definedName>
    <definedName name="_xlnm.Print_Area" localSheetId="2">UN_DIA!$A$1:$I$19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154A" localSheetId="3" hidden="1">#REF!</definedName>
    <definedName name="B154A" hidden="1">#REF!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localSheetId="3" hidden="1">#REF!</definedName>
    <definedName name="Bloco" hidden="1">#REF!</definedName>
    <definedName name="Bloco2" localSheetId="3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localSheetId="3" hidden="1">#REF!</definedName>
    <definedName name="CadIns" hidden="1">#REF!</definedName>
    <definedName name="CadSrv" localSheetId="3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localSheetId="3" hidden="1">#REF!</definedName>
    <definedName name="Chave" hidden="1">#REF!</definedName>
    <definedName name="Chave1" localSheetId="3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localSheetId="3" hidden="1">MAX(LEN(#REF!))</definedName>
    <definedName name="Clas" hidden="1">MAX(LEN(#REF!))</definedName>
    <definedName name="Clas_1" localSheetId="3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localSheetId="3" hidden="1">#REF!</definedName>
    <definedName name="Cod" hidden="1">#REF!</definedName>
    <definedName name="Codigo" localSheetId="3" hidden="1">#REF!</definedName>
    <definedName name="Codigo" hidden="1">#REF!</definedName>
    <definedName name="Coluna" localSheetId="3" hidden="1">#REF!</definedName>
    <definedName name="Coluna" hidden="1">#REF!</definedName>
    <definedName name="Comp" localSheetId="3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localSheetId="3" hidden="1">#REF!</definedName>
    <definedName name="CpuAux" hidden="1">#REF!</definedName>
    <definedName name="CPUs" localSheetId="3" hidden="1">#REF!</definedName>
    <definedName name="CPUs" hidden="1">#REF!</definedName>
    <definedName name="CRIT" localSheetId="3" hidden="1">#REF!</definedName>
    <definedName name="CRIT" hidden="1">#REF!</definedName>
    <definedName name="Criteria" localSheetId="3" hidden="1">#REF!</definedName>
    <definedName name="Criteria" hidden="1">#REF!</definedName>
    <definedName name="_xlnm.Criteria" localSheetId="3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hidden="1">{#N/A,#N/A,TRUE,"Serviços"}</definedName>
    <definedName name="Cun" hidden="1">#N/A</definedName>
    <definedName name="CunEq" localSheetId="3" hidden="1">SUM(IF(#REF! =#REF!,(#REF!)*(#REF!="EQ")))</definedName>
    <definedName name="CunEq" hidden="1">SUM(IF(#REF! =#REF!,(#REF!)*(#REF!="EQ")))</definedName>
    <definedName name="CunEq_1" localSheetId="3" hidden="1">SUM(IF(#REF! =#REF!,(#REF!)*(#REF!="EQ")))</definedName>
    <definedName name="CunEq_1" hidden="1">SUM(IF(#REF! =#REF!,(#REF!)*(#REF!="EQ")))</definedName>
    <definedName name="CunMo" localSheetId="3" hidden="1">SUM(IF(#REF! =#REF!,(#REF!)*(#REF!="MO")))</definedName>
    <definedName name="CunMo" hidden="1">SUM(IF(#REF! =#REF!,(#REF!)*(#REF!="MO")))</definedName>
    <definedName name="CunMo_1" localSheetId="3" hidden="1">SUM(IF(#REF! =#REF!,(#REF!)*(#REF!="MO")))</definedName>
    <definedName name="CunMo_1" hidden="1">SUM(IF(#REF! =#REF!,(#REF!)*(#REF!="MO")))</definedName>
    <definedName name="CunMp" localSheetId="3" hidden="1">SUM(IF(#REF! =#REF!,(#REF!)*(#REF!="MP")))</definedName>
    <definedName name="CunMp" hidden="1">SUM(IF(#REF! =#REF!,(#REF!)*(#REF!="MP")))</definedName>
    <definedName name="CunMp_1" localSheetId="3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dos" localSheetId="3" hidden="1">#REF!</definedName>
    <definedName name="Dados" hidden="1">#REF!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localSheetId="3" hidden="1">#REF!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localSheetId="3" hidden="1">MAX(LEN(#REF!))</definedName>
    <definedName name="DDED" hidden="1">MAX(LEN(#REF!))</definedName>
    <definedName name="DDEEERE" hidden="1">{"'gráf jan00'!$A$1:$AK$41"}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localSheetId="3" hidden="1">#REF!</definedName>
    <definedName name="deb" hidden="1">#REF!</definedName>
    <definedName name="defensas" localSheetId="3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localSheetId="3" hidden="1">#REF!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localSheetId="3" hidden="1">#REF!</definedName>
    <definedName name="Edit" hidden="1">#REF!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localSheetId="3" hidden="1">#REF!</definedName>
    <definedName name="Empr" hidden="1">#REF!</definedName>
    <definedName name="eng." hidden="1">{#N/A,#N/A,FALSE,"MO (2)"}</definedName>
    <definedName name="eng._1" hidden="1">{#N/A,#N/A,FALSE,"MO (2)"}</definedName>
    <definedName name="ENGENHARIA" hidden="1">{#N/A,#N/A,FALSE,"MO (2)"}</definedName>
    <definedName name="ENGENHARIA_1" hidden="1">{#N/A,#N/A,FALSE,"MO (2)"}</definedName>
    <definedName name="Enrocamento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localSheetId="3" hidden="1">#REF!</definedName>
    <definedName name="EQ" hidden="1">#REF!</definedName>
    <definedName name="Equip" localSheetId="3" hidden="1">#REF!</definedName>
    <definedName name="Equip" hidden="1">#REF!</definedName>
    <definedName name="erb" hidden="1">{"'Quadro'!$A$4:$BG$78"}</definedName>
    <definedName name="erc" hidden="1">{"'RR'!$A$2:$E$81"}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localSheetId="3" hidden="1">#REF!</definedName>
    <definedName name="errrrr" hidden="1">#REF!</definedName>
    <definedName name="ES" localSheetId="3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hidden="1">{"'EI 060 02'!$A$1:$K$59"}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ar" localSheetId="3" hidden="1">#REF!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localSheetId="3" hidden="1">#REF!</definedName>
    <definedName name="gurada" hidden="1">#REF!</definedName>
    <definedName name="hfs" hidden="1">{"'gráf jan00'!$A$1:$AK$41"}</definedName>
    <definedName name="HGHJ" hidden="1">{"'Quadro'!$A$4:$BG$78"}</definedName>
    <definedName name="HGRET" hidden="1">{"'RR'!$A$2:$E$81"}</definedName>
    <definedName name="hh" localSheetId="3" hidden="1">#REF!</definedName>
    <definedName name="hh" hidden="1">#REF!</definedName>
    <definedName name="hhhhh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3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3" hidden="1">#REF!</definedName>
    <definedName name="Itens" hidden="1">#REF!</definedName>
    <definedName name="IUO" hidden="1">{"'Quadro'!$A$4:$BG$78"}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localSheetId="3" hidden="1">#REF!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hidden="1">{#N/A,#N/A,FALSE,"MO (2)"}</definedName>
    <definedName name="klklklkl" hidden="1">{#N/A,#N/A,FALSE,"MO (2)"}</definedName>
    <definedName name="KLSAIOKPGPO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localSheetId="3" hidden="1">#REF!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localSheetId="3" hidden="1">COUNTIF(#REF!,"&lt;&gt;0")+3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localSheetId="3" hidden="1">#REF!</definedName>
    <definedName name="mICRO" hidden="1">#REF!</definedName>
    <definedName name="MO" localSheetId="3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localSheetId="3" hidden="1">#REF!</definedName>
    <definedName name="Mob" hidden="1">#REF!</definedName>
    <definedName name="Modelo" localSheetId="3" hidden="1">#REF!</definedName>
    <definedName name="Modelo" hidden="1">#REF!</definedName>
    <definedName name="MP" localSheetId="3" hidden="1">#REF!</definedName>
    <definedName name="MP" hidden="1">#REF!</definedName>
    <definedName name="MPSDMFSM" localSheetId="3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localSheetId="3" hidden="1">#REF!</definedName>
    <definedName name="okaaaaa" hidden="1">#REF!</definedName>
    <definedName name="OnOff" hidden="1">"ON"</definedName>
    <definedName name="OO" localSheetId="3" hidden="1">#REF!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3" hidden="1">#REF!</definedName>
    <definedName name="Ordem" hidden="1">#REF!</definedName>
    <definedName name="Origem" localSheetId="3" hidden="1">#REF!</definedName>
    <definedName name="Origem" hidden="1">#REF!</definedName>
    <definedName name="outra" localSheetId="3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localSheetId="3" hidden="1">#REF!</definedName>
    <definedName name="Plan1" hidden="1">#REF!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hidden="1">{#N/A,#N/A,FALSE,"MO (2)"}</definedName>
    <definedName name="Portos1" hidden="1">{"'RR'!$A$2:$E$81"}</definedName>
    <definedName name="Posição" localSheetId="3" hidden="1">#REF!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localSheetId="3" hidden="1">ROUND(#REF!*#REF!,2)</definedName>
    <definedName name="Pto" hidden="1">ROUND(#REF!*#REF!,2)</definedName>
    <definedName name="Pun" hidden="1">#N/A</definedName>
    <definedName name="Q" localSheetId="3" hidden="1">#REF!</definedName>
    <definedName name="Q" hidden="1">#REF!</definedName>
    <definedName name="QD" localSheetId="3" hidden="1">#REF!</definedName>
    <definedName name="QD" hidden="1">#REF!</definedName>
    <definedName name="QQQQ" localSheetId="3" hidden="1">SUM(IF(#REF! =#REF!,(#REF!)*(#REF!="EQ")))</definedName>
    <definedName name="QQQQ" hidden="1">SUM(IF(#REF! =#REF!,(#REF!)*(#REF!="EQ")))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localSheetId="3" hidden="1">#REF!</definedName>
    <definedName name="QTD" hidden="1">#REF!</definedName>
    <definedName name="QtEq" localSheetId="3" hidden="1">#REF!</definedName>
    <definedName name="QtEq" hidden="1">#REF!</definedName>
    <definedName name="QtMo" localSheetId="3" hidden="1">#REF!</definedName>
    <definedName name="QtMo" hidden="1">#REF!</definedName>
    <definedName name="QtMp" localSheetId="3" hidden="1">#REF!</definedName>
    <definedName name="QtMp" hidden="1">#REF!</definedName>
    <definedName name="QtTr" localSheetId="3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localSheetId="3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localSheetId="3" hidden="1">#REF!</definedName>
    <definedName name="Rod" hidden="1">#REF!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localSheetId="3" hidden="1">#REF!</definedName>
    <definedName name="SB" hidden="1">#REF!</definedName>
    <definedName name="sd" localSheetId="3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hidden="1">{#N/A,#N/A,FALSE,"MO (2)"}</definedName>
    <definedName name="sdsdsdsx" hidden="1">{#N/A,#N/A,FALSE,"MO (2)"}</definedName>
    <definedName name="SE" localSheetId="3" hidden="1">#REF!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3" hidden="1">#REF!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localSheetId="3" hidden="1">#REF!</definedName>
    <definedName name="SRV" hidden="1">#REF!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hidden="1">{#N/A,#N/A,TRUE,"Plan1"}</definedName>
    <definedName name="sssssssssssssssssssss_1" hidden="1">{#N/A,#N/A,TRUE,"Plan1"}</definedName>
    <definedName name="Subt" localSheetId="3" hidden="1">#REF!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localSheetId="3" hidden="1">#REF!</definedName>
    <definedName name="TOT" hidden="1">#REF!</definedName>
    <definedName name="tran" hidden="1">{"'Quadro'!$A$4:$BG$78"}</definedName>
    <definedName name="Transporte_Brita_TSD" hidden="1">{#N/A,#N/A,TRUE,"Plan1"}</definedName>
    <definedName name="Trec" localSheetId="3" hidden="1">#REF!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uuuuuuuuuuu" localSheetId="3" hidden="1">#REF!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hidden="1">{#N/A,#N/A,FALSE,"MO (2)"}</definedName>
    <definedName name="vp" hidden="1">{"'Quadro'!$A$4:$BG$78"}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022B7420_7F94_427F_B370_84030F9B3342_.wvu.FilterData" localSheetId="3" hidden="1">#REF!</definedName>
    <definedName name="Z_022B7420_7F94_427F_B370_84030F9B3342_.wvu.FilterData" hidden="1">#REF!</definedName>
    <definedName name="Z_04BC043C_175B_412D_8093_6F29CD74FBAE_.wvu.FilterData" localSheetId="3" hidden="1">#REF!</definedName>
    <definedName name="Z_04BC043C_175B_412D_8093_6F29CD74FBAE_.wvu.FilterData" hidden="1">#REF!</definedName>
    <definedName name="Z_058B9256_CB4D_4C39_834D_D693FEEB491F_.wvu.FilterData" localSheetId="3" hidden="1">#REF!</definedName>
    <definedName name="Z_058B9256_CB4D_4C39_834D_D693FEEB491F_.wvu.FilterData" hidden="1">#REF!</definedName>
    <definedName name="Z_05D1A71D_3B7B_4FB7_8DF3_B8E29CA3927A_.wvu.FilterData" localSheetId="3" hidden="1">#REF!</definedName>
    <definedName name="Z_05D1A71D_3B7B_4FB7_8DF3_B8E29CA3927A_.wvu.FilterData" hidden="1">#REF!</definedName>
    <definedName name="Z_07C2CF55_E6DF_411A_AB00_7E155615468C_.wvu.FilterData" localSheetId="3" hidden="1">#REF!</definedName>
    <definedName name="Z_07C2CF55_E6DF_411A_AB00_7E155615468C_.wvu.FilterData" hidden="1">#REF!</definedName>
    <definedName name="Z_0B1003A7_69DB_4D5B_966D_57B9E8AF76FB_.wvu.FilterData" localSheetId="3" hidden="1">#REF!</definedName>
    <definedName name="Z_0B1003A7_69DB_4D5B_966D_57B9E8AF76FB_.wvu.FilterData" hidden="1">#REF!</definedName>
    <definedName name="Z_0C3EE359_64F6_4049_9576_8EACA8563EA4_.wvu.FilterData" localSheetId="3" hidden="1">#REF!</definedName>
    <definedName name="Z_0C3EE359_64F6_4049_9576_8EACA8563EA4_.wvu.FilterData" hidden="1">#REF!</definedName>
    <definedName name="Z_0D05AC4E_32D3_4985_8208_9776E00AC749_.wvu.FilterData" localSheetId="3" hidden="1">#REF!</definedName>
    <definedName name="Z_0D05AC4E_32D3_4985_8208_9776E00AC749_.wvu.FilterData" hidden="1">#REF!</definedName>
    <definedName name="Z_0DC459DE_F68C_4E33_8D1E_F1663ABAC944_.wvu.FilterData" localSheetId="3" hidden="1">#REF!</definedName>
    <definedName name="Z_0DC459DE_F68C_4E33_8D1E_F1663ABAC944_.wvu.FilterData" hidden="1">#REF!</definedName>
    <definedName name="Z_0FACBA89_1203_4ED8_87E5_EC1D45B051B7_.wvu.FilterData" localSheetId="3" hidden="1">#REF!</definedName>
    <definedName name="Z_0FACBA89_1203_4ED8_87E5_EC1D45B051B7_.wvu.FilterData" hidden="1">#REF!</definedName>
    <definedName name="Z_0FEA3536_5108_4591_BECF_C3181387F85F_.wvu.FilterData" localSheetId="3" hidden="1">#REF!</definedName>
    <definedName name="Z_0FEA3536_5108_4591_BECF_C3181387F85F_.wvu.FilterData" hidden="1">#REF!</definedName>
    <definedName name="Z_0FEFDB42_ECBC_4500_A6C8_FEE3D368790B_.wvu.FilterData" localSheetId="3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localSheetId="3" hidden="1">#REF!</definedName>
    <definedName name="Z_110A0651_47C7_408E_B3BF_0C80D30B95FC_.wvu.FilterData" hidden="1">#REF!</definedName>
    <definedName name="Z_128E64DD_BE84_40EE_A6D2_C9B0EB25CBBD_.wvu.FilterData" localSheetId="3" hidden="1">#REF!</definedName>
    <definedName name="Z_128E64DD_BE84_40EE_A6D2_C9B0EB25CBBD_.wvu.FilterData" hidden="1">#REF!</definedName>
    <definedName name="Z_12F2973E_0018_407B_98AD_CD9C5D1F65FA_.wvu.FilterData" localSheetId="3" hidden="1">#REF!</definedName>
    <definedName name="Z_12F2973E_0018_407B_98AD_CD9C5D1F65FA_.wvu.FilterData" hidden="1">#REF!</definedName>
    <definedName name="Z_137DAE61_8A8D_4219_A4CC_0EEC18A94882_.wvu.FilterData" localSheetId="3" hidden="1">#REF!</definedName>
    <definedName name="Z_137DAE61_8A8D_4219_A4CC_0EEC18A94882_.wvu.FilterData" hidden="1">#REF!</definedName>
    <definedName name="Z_13E06FB5_D019_406D_B278_1B53AD2F6386_.wvu.FilterData" localSheetId="3" hidden="1">#REF!</definedName>
    <definedName name="Z_13E06FB5_D019_406D_B278_1B53AD2F6386_.wvu.FilterData" hidden="1">#REF!</definedName>
    <definedName name="Z_14D375AC_5615_46DE_8EE3_95915B2A8B54_.wvu.FilterData" localSheetId="3" hidden="1">#REF!</definedName>
    <definedName name="Z_14D375AC_5615_46DE_8EE3_95915B2A8B54_.wvu.FilterData" hidden="1">#REF!</definedName>
    <definedName name="Z_15B5DC78_B02F_4AC6_8572_015040A55619_.wvu.FilterData" localSheetId="3" hidden="1">#REF!</definedName>
    <definedName name="Z_15B5DC78_B02F_4AC6_8572_015040A55619_.wvu.FilterData" hidden="1">#REF!</definedName>
    <definedName name="Z_166D6F0F_4D44_46E7_8C36_48FD4848B5AA_.wvu.FilterData" localSheetId="3" hidden="1">#REF!</definedName>
    <definedName name="Z_166D6F0F_4D44_46E7_8C36_48FD4848B5AA_.wvu.FilterData" hidden="1">#REF!</definedName>
    <definedName name="Z_16FAB836_2255_4D4C_90E4_6B46255F3759_.wvu.FilterData" localSheetId="3" hidden="1">#REF!</definedName>
    <definedName name="Z_16FAB836_2255_4D4C_90E4_6B46255F3759_.wvu.FilterData" hidden="1">#REF!</definedName>
    <definedName name="Z_198D391C_95CB_49F5_8924_5FEA3CE5C98A_.wvu.FilterData" localSheetId="3" hidden="1">#REF!</definedName>
    <definedName name="Z_198D391C_95CB_49F5_8924_5FEA3CE5C98A_.wvu.FilterData" hidden="1">#REF!</definedName>
    <definedName name="Z_1D9C37CC_3E33_4D4D_B7CD_819F75C83D65_.wvu.FilterData" localSheetId="3" hidden="1">#REF!</definedName>
    <definedName name="Z_1D9C37CC_3E33_4D4D_B7CD_819F75C83D65_.wvu.FilterData" hidden="1">#REF!</definedName>
    <definedName name="Z_1DF9838C_880D_4C4E_BFFE_89B5894EC40F_.wvu.FilterData" localSheetId="3" hidden="1">#REF!</definedName>
    <definedName name="Z_1DF9838C_880D_4C4E_BFFE_89B5894EC40F_.wvu.FilterData" hidden="1">#REF!</definedName>
    <definedName name="Z_1EF42BFC_874B_4E01_B67D_1607E823ACD0_.wvu.FilterData" localSheetId="3" hidden="1">#REF!</definedName>
    <definedName name="Z_1EF42BFC_874B_4E01_B67D_1607E823ACD0_.wvu.FilterData" hidden="1">#REF!</definedName>
    <definedName name="Z_1F94C6E7_3CCA_4599_AF6F_4D6291B2AD93_.wvu.FilterData" localSheetId="3" hidden="1">#REF!</definedName>
    <definedName name="Z_1F94C6E7_3CCA_4599_AF6F_4D6291B2AD93_.wvu.FilterData" hidden="1">#REF!</definedName>
    <definedName name="Z_20A9AA17_0DEB_4190_8DAD_FC60D0D33A52_.wvu.FilterData" localSheetId="3" hidden="1">#REF!</definedName>
    <definedName name="Z_20A9AA17_0DEB_4190_8DAD_FC60D0D33A52_.wvu.FilterData" hidden="1">#REF!</definedName>
    <definedName name="Z_2103F656_ECB2_4F99_BE9B_56F4D7A5CEE2_.wvu.FilterData" localSheetId="3" hidden="1">#REF!</definedName>
    <definedName name="Z_2103F656_ECB2_4F99_BE9B_56F4D7A5CEE2_.wvu.FilterData" hidden="1">#REF!</definedName>
    <definedName name="Z_2158A2BC_8DB5_455D_AFDE_914B22949288_.wvu.FilterData" localSheetId="3" hidden="1">#REF!</definedName>
    <definedName name="Z_2158A2BC_8DB5_455D_AFDE_914B22949288_.wvu.FilterData" hidden="1">#REF!</definedName>
    <definedName name="Z_21A967FF_561E_495F_AEB9_4DD3BEDA53BC_.wvu.FilterData" localSheetId="3" hidden="1">#REF!</definedName>
    <definedName name="Z_21A967FF_561E_495F_AEB9_4DD3BEDA53BC_.wvu.FilterData" hidden="1">#REF!</definedName>
    <definedName name="Z_227E7522_DC52_4EA7_A11A_0741FF23CC42_.wvu.FilterData" localSheetId="3" hidden="1">#REF!</definedName>
    <definedName name="Z_227E7522_DC52_4EA7_A11A_0741FF23CC42_.wvu.FilterData" hidden="1">#REF!</definedName>
    <definedName name="Z_23BA0C23_280B_4568_A53C_1C6D2E85772A_.wvu.FilterData" localSheetId="3" hidden="1">#REF!</definedName>
    <definedName name="Z_23BA0C23_280B_4568_A53C_1C6D2E85772A_.wvu.FilterData" hidden="1">#REF!</definedName>
    <definedName name="Z_244346C6_3866_4160_9E2E_C77913F25398_.wvu.FilterData" localSheetId="3" hidden="1">#REF!</definedName>
    <definedName name="Z_244346C6_3866_4160_9E2E_C77913F25398_.wvu.FilterData" hidden="1">#REF!</definedName>
    <definedName name="Z_25117F67_F0EE_43EF_8FF9_79F533CE10B0_.wvu.FilterData" localSheetId="3" hidden="1">#REF!</definedName>
    <definedName name="Z_25117F67_F0EE_43EF_8FF9_79F533CE10B0_.wvu.FilterData" hidden="1">#REF!</definedName>
    <definedName name="Z_259E2DDE_5459_4510_B7A2_66F49964C56E_.wvu.FilterData" localSheetId="3" hidden="1">#REF!</definedName>
    <definedName name="Z_259E2DDE_5459_4510_B7A2_66F49964C56E_.wvu.FilterData" hidden="1">#REF!</definedName>
    <definedName name="Z_25C7DFCF_BE54_4A41_B957_DE39B9B2A5B5_.wvu.FilterData" localSheetId="3" hidden="1">#REF!</definedName>
    <definedName name="Z_25C7DFCF_BE54_4A41_B957_DE39B9B2A5B5_.wvu.FilterData" hidden="1">#REF!</definedName>
    <definedName name="Z_272E0E4D_901D_11D7_B59C_0050DAB35C7B_.wvu.FilterData" localSheetId="3" hidden="1">#REF!</definedName>
    <definedName name="Z_272E0E4D_901D_11D7_B59C_0050DAB35C7B_.wvu.FilterData" hidden="1">#REF!</definedName>
    <definedName name="Z_27D9353E_5A5F_49BF_8724_FA312A4073FF_.wvu.FilterData" localSheetId="3" hidden="1">#REF!</definedName>
    <definedName name="Z_27D9353E_5A5F_49BF_8724_FA312A4073FF_.wvu.FilterData" hidden="1">#REF!</definedName>
    <definedName name="Z_299BE965_B904_49FA_A79D_B9538F94936F_.wvu.FilterData" localSheetId="3" hidden="1">#REF!</definedName>
    <definedName name="Z_299BE965_B904_49FA_A79D_B9538F94936F_.wvu.FilterData" hidden="1">#REF!</definedName>
    <definedName name="Z_29D37CE9_76D1_4D09_99A0_55ABA6929929_.wvu.FilterData" localSheetId="3" hidden="1">#REF!</definedName>
    <definedName name="Z_29D37CE9_76D1_4D09_99A0_55ABA6929929_.wvu.FilterData" hidden="1">#REF!</definedName>
    <definedName name="Z_2C05BC27_731C_41F4_980F_CD81E4A7A662_.wvu.FilterData" localSheetId="3" hidden="1">#REF!</definedName>
    <definedName name="Z_2C05BC27_731C_41F4_980F_CD81E4A7A662_.wvu.FilterData" hidden="1">#REF!</definedName>
    <definedName name="Z_2C0BDCBF_705B_4E5A_9659_05D99EC56641_.wvu.FilterData" localSheetId="3" hidden="1">#REF!</definedName>
    <definedName name="Z_2C0BDCBF_705B_4E5A_9659_05D99EC56641_.wvu.FilterData" hidden="1">#REF!</definedName>
    <definedName name="Z_2CD580B5_D99D_45ED_AC1E_45F8CBBBB9F1_.wvu.FilterData" localSheetId="3" hidden="1">#REF!</definedName>
    <definedName name="Z_2CD580B5_D99D_45ED_AC1E_45F8CBBBB9F1_.wvu.FilterData" hidden="1">#REF!</definedName>
    <definedName name="Z_2D98D706_A306_4353_8B3D_DA92F9EAEC9A_.wvu.FilterData" localSheetId="3" hidden="1">#REF!</definedName>
    <definedName name="Z_2D98D706_A306_4353_8B3D_DA92F9EAEC9A_.wvu.FilterData" hidden="1">#REF!</definedName>
    <definedName name="Z_2F8736FC_F07E_49E8_9C13_8E0A0F5EFE5F_.wvu.FilterData" localSheetId="3" hidden="1">#REF!</definedName>
    <definedName name="Z_2F8736FC_F07E_49E8_9C13_8E0A0F5EFE5F_.wvu.FilterData" hidden="1">#REF!</definedName>
    <definedName name="Z_304C2F7A_D3A6_4DBA_A568_C3E56D7C6E2F_.wvu.FilterData" localSheetId="3" hidden="1">#REF!</definedName>
    <definedName name="Z_304C2F7A_D3A6_4DBA_A568_C3E56D7C6E2F_.wvu.FilterData" hidden="1">#REF!</definedName>
    <definedName name="Z_30E0ACE8_B29A_44E9_B542_E8C1CA3FD802_.wvu.FilterData" localSheetId="3" hidden="1">#REF!</definedName>
    <definedName name="Z_30E0ACE8_B29A_44E9_B542_E8C1CA3FD802_.wvu.FilterData" hidden="1">#REF!</definedName>
    <definedName name="Z_31A27EA2_D574_43B8_A671_7419A12151C9_.wvu.FilterData" localSheetId="3" hidden="1">#REF!</definedName>
    <definedName name="Z_31A27EA2_D574_43B8_A671_7419A12151C9_.wvu.FilterData" hidden="1">#REF!</definedName>
    <definedName name="Z_32D1B352_62AB_4105_8DFC_EAA2DF743365_.wvu.FilterData" localSheetId="3" hidden="1">#REF!</definedName>
    <definedName name="Z_32D1B352_62AB_4105_8DFC_EAA2DF743365_.wvu.FilterData" hidden="1">#REF!</definedName>
    <definedName name="Z_330DF436_5BED_40AF_AC51_73D268BD9DF4_.wvu.FilterData" localSheetId="3" hidden="1">#REF!</definedName>
    <definedName name="Z_330DF436_5BED_40AF_AC51_73D268BD9DF4_.wvu.FilterData" hidden="1">#REF!</definedName>
    <definedName name="Z_33B8EF57_2FB1_4600_9590_B0A2F2FE409B_.wvu.FilterData" localSheetId="3" hidden="1">#REF!</definedName>
    <definedName name="Z_33B8EF57_2FB1_4600_9590_B0A2F2FE409B_.wvu.FilterData" hidden="1">#REF!</definedName>
    <definedName name="Z_3404588C_6CE7_4C97_A62C_D19D9EE290D3_.wvu.FilterData" localSheetId="3" hidden="1">#REF!</definedName>
    <definedName name="Z_3404588C_6CE7_4C97_A62C_D19D9EE290D3_.wvu.FilterData" hidden="1">#REF!</definedName>
    <definedName name="Z_34E71878_8D1A_4343_91A1_3FE085136D2B_.wvu.FilterData" localSheetId="3" hidden="1">#REF!</definedName>
    <definedName name="Z_34E71878_8D1A_4343_91A1_3FE085136D2B_.wvu.FilterData" hidden="1">#REF!</definedName>
    <definedName name="Z_37611AA0_E86A_42C8_8705_108B25E060A1_.wvu.FilterData" localSheetId="3" hidden="1">#REF!</definedName>
    <definedName name="Z_37611AA0_E86A_42C8_8705_108B25E060A1_.wvu.FilterData" hidden="1">#REF!</definedName>
    <definedName name="Z_38FE6CED_4C19_4332_9788_ACC902B20A46_.wvu.FilterData" localSheetId="3" hidden="1">#REF!</definedName>
    <definedName name="Z_38FE6CED_4C19_4332_9788_ACC902B20A46_.wvu.FilterData" hidden="1">#REF!</definedName>
    <definedName name="Z_394E75CB_4F7F_4C88_A08F_29E48E587341_.wvu.FilterData" localSheetId="3" hidden="1">#REF!</definedName>
    <definedName name="Z_394E75CB_4F7F_4C88_A08F_29E48E587341_.wvu.FilterData" hidden="1">#REF!</definedName>
    <definedName name="Z_3C200595_20A3_4A0C_B071_705F4AD5DAD3_.wvu.FilterData" localSheetId="3" hidden="1">#REF!</definedName>
    <definedName name="Z_3C200595_20A3_4A0C_B071_705F4AD5DAD3_.wvu.FilterData" hidden="1">#REF!</definedName>
    <definedName name="Z_3E93FF4A_0B7F_475C_A63C_54FBDB9DB4C5_.wvu.FilterData" localSheetId="3" hidden="1">#REF!</definedName>
    <definedName name="Z_3E93FF4A_0B7F_475C_A63C_54FBDB9DB4C5_.wvu.FilterData" hidden="1">#REF!</definedName>
    <definedName name="Z_3FF05DC4_CA9E_470D_A193_91785ACE00EF_.wvu.FilterData" localSheetId="3" hidden="1">#REF!</definedName>
    <definedName name="Z_3FF05DC4_CA9E_470D_A193_91785ACE00EF_.wvu.FilterData" hidden="1">#REF!</definedName>
    <definedName name="Z_43791B95_57D7_42F4_8815_D1B7E488543E_.wvu.FilterData" localSheetId="3" hidden="1">#REF!</definedName>
    <definedName name="Z_43791B95_57D7_42F4_8815_D1B7E488543E_.wvu.FilterData" hidden="1">#REF!</definedName>
    <definedName name="Z_445AA90F_6D9B_40F5_8E1D_CE1EF57CF450_.wvu.FilterData" localSheetId="3" hidden="1">#REF!</definedName>
    <definedName name="Z_445AA90F_6D9B_40F5_8E1D_CE1EF57CF450_.wvu.FilterData" hidden="1">#REF!</definedName>
    <definedName name="Z_454E0C40_F84F_42A3_A371_6F23C1F38595_.wvu.FilterData" localSheetId="3" hidden="1">#REF!</definedName>
    <definedName name="Z_454E0C40_F84F_42A3_A371_6F23C1F38595_.wvu.FilterData" hidden="1">#REF!</definedName>
    <definedName name="Z_4608FCB3_3552_4D58_B6CE_B8F34D78221E_.wvu.FilterData" localSheetId="3" hidden="1">#REF!</definedName>
    <definedName name="Z_4608FCB3_3552_4D58_B6CE_B8F34D78221E_.wvu.FilterData" hidden="1">#REF!</definedName>
    <definedName name="Z_46E47F7C_9185_4E39_BED5_B4A69FF64CC1_.wvu.FilterData" localSheetId="3" hidden="1">#REF!</definedName>
    <definedName name="Z_46E47F7C_9185_4E39_BED5_B4A69FF64CC1_.wvu.FilterData" hidden="1">#REF!</definedName>
    <definedName name="Z_48202D5D_77CB_41DE_8C59_9325C98D7C97_.wvu.FilterData" localSheetId="3" hidden="1">#REF!</definedName>
    <definedName name="Z_48202D5D_77CB_41DE_8C59_9325C98D7C97_.wvu.FilterData" hidden="1">#REF!</definedName>
    <definedName name="Z_48824DFE_B714_4D0B_9E95_F01C5BAD5D1F_.wvu.FilterData" localSheetId="3" hidden="1">#REF!</definedName>
    <definedName name="Z_48824DFE_B714_4D0B_9E95_F01C5BAD5D1F_.wvu.FilterData" hidden="1">#REF!</definedName>
    <definedName name="Z_4C45D885_33EE_4DA9_BF96_6B10CFBA5596_.wvu.FilterData" localSheetId="3" hidden="1">#REF!</definedName>
    <definedName name="Z_4C45D885_33EE_4DA9_BF96_6B10CFBA5596_.wvu.FilterData" hidden="1">#REF!</definedName>
    <definedName name="Z_4D344757_9064_4D2F_A3A5_69132D23B7B9_.wvu.FilterData" localSheetId="3" hidden="1">#REF!</definedName>
    <definedName name="Z_4D344757_9064_4D2F_A3A5_69132D23B7B9_.wvu.FilterData" hidden="1">#REF!</definedName>
    <definedName name="Z_4E773EE1_0A5B_43A9_9C28_FFB0A27D19C3_.wvu.FilterData" localSheetId="3" hidden="1">#REF!</definedName>
    <definedName name="Z_4E773EE1_0A5B_43A9_9C28_FFB0A27D19C3_.wvu.FilterData" hidden="1">#REF!</definedName>
    <definedName name="Z_5122F04C_91B2_4031_BAE2_43203D520992_.wvu.FilterData" localSheetId="3" hidden="1">#REF!</definedName>
    <definedName name="Z_5122F04C_91B2_4031_BAE2_43203D520992_.wvu.FilterData" hidden="1">#REF!</definedName>
    <definedName name="Z_52B8D0B0_5872_4367_8D38_9AA5A4B975B3_.wvu.FilterData" localSheetId="3" hidden="1">#REF!</definedName>
    <definedName name="Z_52B8D0B0_5872_4367_8D38_9AA5A4B975B3_.wvu.FilterData" hidden="1">#REF!</definedName>
    <definedName name="Z_532423B2_94C7_44C1_9A2A_9712DAE92CE9_.wvu.FilterData" localSheetId="3" hidden="1">#REF!</definedName>
    <definedName name="Z_532423B2_94C7_44C1_9A2A_9712DAE92CE9_.wvu.FilterData" hidden="1">#REF!</definedName>
    <definedName name="Z_53F31130_5EA7_42BA_93EB_88A7CB743782_.wvu.FilterData" localSheetId="3" hidden="1">#REF!</definedName>
    <definedName name="Z_53F31130_5EA7_42BA_93EB_88A7CB743782_.wvu.FilterData" hidden="1">#REF!</definedName>
    <definedName name="Z_55213581_1831_4A94_AB4D_23E4F8BC8085_.wvu.FilterData" localSheetId="3" hidden="1">#REF!</definedName>
    <definedName name="Z_55213581_1831_4A94_AB4D_23E4F8BC8085_.wvu.FilterData" hidden="1">#REF!</definedName>
    <definedName name="Z_552B9204_1C85_45BC_B148_AF3E206BDAA2_.wvu.FilterData" localSheetId="3" hidden="1">#REF!</definedName>
    <definedName name="Z_552B9204_1C85_45BC_B148_AF3E206BDAA2_.wvu.FilterData" hidden="1">#REF!</definedName>
    <definedName name="Z_566671FC_5910_47FD_B961_1065A17D262D_.wvu.FilterData" localSheetId="3" hidden="1">#REF!</definedName>
    <definedName name="Z_566671FC_5910_47FD_B961_1065A17D262D_.wvu.FilterData" hidden="1">#REF!</definedName>
    <definedName name="Z_569D17FA_30FE_42CA_8D65_E126C1C01EC2_.wvu.FilterData" localSheetId="3" hidden="1">#REF!</definedName>
    <definedName name="Z_569D17FA_30FE_42CA_8D65_E126C1C01EC2_.wvu.FilterData" hidden="1">#REF!</definedName>
    <definedName name="Z_573E904E_5C2F_4CA2_AFCF_918B916322E4_.wvu.FilterData" localSheetId="3" hidden="1">#REF!</definedName>
    <definedName name="Z_573E904E_5C2F_4CA2_AFCF_918B916322E4_.wvu.FilterData" hidden="1">#REF!</definedName>
    <definedName name="Z_58DA6172_DC47_4A5F_B420_207BB6987764_.wvu.FilterData" localSheetId="3" hidden="1">#REF!</definedName>
    <definedName name="Z_58DA6172_DC47_4A5F_B420_207BB6987764_.wvu.FilterData" hidden="1">#REF!</definedName>
    <definedName name="Z_58FCB891_F6F4_46F2_BF6B_861E585C9231_.wvu.FilterData" localSheetId="3" hidden="1">#REF!</definedName>
    <definedName name="Z_58FCB891_F6F4_46F2_BF6B_861E585C9231_.wvu.FilterData" hidden="1">#REF!</definedName>
    <definedName name="Z_59A87EBA_E018_40E8_A580_AB2176E95D7E_.wvu.FilterData" localSheetId="3" hidden="1">#REF!</definedName>
    <definedName name="Z_59A87EBA_E018_40E8_A580_AB2176E95D7E_.wvu.FilterData" hidden="1">#REF!</definedName>
    <definedName name="Z_5A3E740D_87C0_4F85_AB6D_B402AD860D04_.wvu.FilterData" localSheetId="3" hidden="1">#REF!</definedName>
    <definedName name="Z_5A3E740D_87C0_4F85_AB6D_B402AD860D04_.wvu.FilterData" hidden="1">#REF!</definedName>
    <definedName name="Z_5B42E6B5_40AA_4D3F_B932_EF1583491CDE_.wvu.FilterData" localSheetId="3" hidden="1">#REF!</definedName>
    <definedName name="Z_5B42E6B5_40AA_4D3F_B932_EF1583491CDE_.wvu.FilterData" hidden="1">#REF!</definedName>
    <definedName name="Z_5B7B4951_7310_4C66_B906_4D046076272E_.wvu.FilterData" localSheetId="3" hidden="1">#REF!</definedName>
    <definedName name="Z_5B7B4951_7310_4C66_B906_4D046076272E_.wvu.FilterData" hidden="1">#REF!</definedName>
    <definedName name="Z_5D41F4B9_83DF_4509_9C07_453BA5A62846_.wvu.FilterData" localSheetId="3" hidden="1">#REF!</definedName>
    <definedName name="Z_5D41F4B9_83DF_4509_9C07_453BA5A62846_.wvu.FilterData" hidden="1">#REF!</definedName>
    <definedName name="Z_5DB05E9F_8F3B_4886_A6CB_2CC53331BA7A_.wvu.FilterData" localSheetId="3" hidden="1">#REF!</definedName>
    <definedName name="Z_5DB05E9F_8F3B_4886_A6CB_2CC53331BA7A_.wvu.FilterData" hidden="1">#REF!</definedName>
    <definedName name="Z_5F096896_2CB8_4B96_A0FE_9AB50EEEEFAB_.wvu.FilterData" localSheetId="3" hidden="1">#REF!</definedName>
    <definedName name="Z_5F096896_2CB8_4B96_A0FE_9AB50EEEEFAB_.wvu.FilterData" hidden="1">#REF!</definedName>
    <definedName name="Z_60DF8B29_1C1F_4B50_BDA8_B8E0C7DD04C3_.wvu.Cols" localSheetId="3" hidden="1">#REF!,#REF!</definedName>
    <definedName name="Z_60DF8B29_1C1F_4B50_BDA8_B8E0C7DD04C3_.wvu.Cols" hidden="1">#REF!,#REF!</definedName>
    <definedName name="Z_60DF8B29_1C1F_4B50_BDA8_B8E0C7DD04C3_.wvu.FilterData" localSheetId="3" hidden="1">#REF!</definedName>
    <definedName name="Z_60DF8B29_1C1F_4B50_BDA8_B8E0C7DD04C3_.wvu.FilterData" hidden="1">#REF!</definedName>
    <definedName name="Z_615F4A4D_D5AB_4A04_81F5_F436484247A5_.wvu.FilterData" localSheetId="3" hidden="1">#REF!</definedName>
    <definedName name="Z_615F4A4D_D5AB_4A04_81F5_F436484247A5_.wvu.FilterData" hidden="1">#REF!</definedName>
    <definedName name="Z_616443B5_6F0D_4082_9223_F71B54305366_.wvu.FilterData" localSheetId="3" hidden="1">#REF!</definedName>
    <definedName name="Z_616443B5_6F0D_4082_9223_F71B54305366_.wvu.FilterData" hidden="1">#REF!</definedName>
    <definedName name="Z_631F0312_B404_409F_AF2B_39FB2D25040B_.wvu.FilterData" localSheetId="3" hidden="1">#REF!</definedName>
    <definedName name="Z_631F0312_B404_409F_AF2B_39FB2D25040B_.wvu.FilterData" hidden="1">#REF!</definedName>
    <definedName name="Z_632CF316_8294_4588_87E1_2B69E184A62B_.wvu.FilterData" localSheetId="3" hidden="1">#REF!</definedName>
    <definedName name="Z_632CF316_8294_4588_87E1_2B69E184A62B_.wvu.FilterData" hidden="1">#REF!</definedName>
    <definedName name="Z_66D1BA5F_F4AE_443C_8583_CE89D6674A73_.wvu.FilterData" localSheetId="3" hidden="1">#REF!</definedName>
    <definedName name="Z_66D1BA5F_F4AE_443C_8583_CE89D6674A73_.wvu.FilterData" hidden="1">#REF!</definedName>
    <definedName name="Z_66DD4806_8039_438A_B1CE_46CC5B464050_.wvu.FilterData" localSheetId="3" hidden="1">#REF!</definedName>
    <definedName name="Z_66DD4806_8039_438A_B1CE_46CC5B464050_.wvu.FilterData" hidden="1">#REF!</definedName>
    <definedName name="Z_67B65FDF_FF67_490E_B8E5_92DC66C9FC9D_.wvu.FilterData" localSheetId="3" hidden="1">#REF!</definedName>
    <definedName name="Z_67B65FDF_FF67_490E_B8E5_92DC66C9FC9D_.wvu.FilterData" hidden="1">#REF!</definedName>
    <definedName name="Z_68B709DF_9429_4090_9106_386C5F16C4D7_.wvu.FilterData" localSheetId="3" hidden="1">#REF!</definedName>
    <definedName name="Z_68B709DF_9429_4090_9106_386C5F16C4D7_.wvu.FilterData" hidden="1">#REF!</definedName>
    <definedName name="Z_690BC25F_5AA3_4B4B_9507_8C197E768E98_.wvu.FilterData" localSheetId="3" hidden="1">#REF!</definedName>
    <definedName name="Z_690BC25F_5AA3_4B4B_9507_8C197E768E98_.wvu.FilterData" hidden="1">#REF!</definedName>
    <definedName name="Z_6A66B8A7_491B_4A29_94A1_39F4FDA32C48_.wvu.FilterData" localSheetId="3" hidden="1">#REF!</definedName>
    <definedName name="Z_6A66B8A7_491B_4A29_94A1_39F4FDA32C48_.wvu.FilterData" hidden="1">#REF!</definedName>
    <definedName name="Z_6A6F36C8_24A1_4147_9C63_27B7978935DD_.wvu.FilterData" localSheetId="3" hidden="1">#REF!</definedName>
    <definedName name="Z_6A6F36C8_24A1_4147_9C63_27B7978935DD_.wvu.FilterData" hidden="1">#REF!</definedName>
    <definedName name="Z_6C2050D3_ABE5_4B48_B2A7_DDDD21669987_.wvu.FilterData" localSheetId="3" hidden="1">#REF!</definedName>
    <definedName name="Z_6C2050D3_ABE5_4B48_B2A7_DDDD21669987_.wvu.FilterData" hidden="1">#REF!</definedName>
    <definedName name="Z_6CD84A0B_C00D_4BC8_A655_6383CCA4B296_.wvu.FilterData" localSheetId="3" hidden="1">#REF!</definedName>
    <definedName name="Z_6CD84A0B_C00D_4BC8_A655_6383CCA4B296_.wvu.FilterData" hidden="1">#REF!</definedName>
    <definedName name="Z_6D5E5F42_E924_48A0_A50F_5BB481AFD1D5_.wvu.FilterData" localSheetId="3" hidden="1">#REF!</definedName>
    <definedName name="Z_6D5E5F42_E924_48A0_A50F_5BB481AFD1D5_.wvu.FilterData" hidden="1">#REF!</definedName>
    <definedName name="Z_6D789842_F56B_40C4_8907_F36C02855F76_.wvu.FilterData" localSheetId="3" hidden="1">#REF!</definedName>
    <definedName name="Z_6D789842_F56B_40C4_8907_F36C02855F76_.wvu.FilterData" hidden="1">#REF!</definedName>
    <definedName name="Z_6E345713_0818_471C_B54B_D890B987A0BC_.wvu.FilterData" localSheetId="3" hidden="1">#REF!</definedName>
    <definedName name="Z_6E345713_0818_471C_B54B_D890B987A0BC_.wvu.FilterData" hidden="1">#REF!</definedName>
    <definedName name="Z_701DEAE4_9CF1_491A_A54B_A6AE3235639D_.wvu.FilterData" localSheetId="3" hidden="1">#REF!</definedName>
    <definedName name="Z_701DEAE4_9CF1_491A_A54B_A6AE3235639D_.wvu.FilterData" hidden="1">#REF!</definedName>
    <definedName name="Z_7319B1DA_C8AE_4D1D_AB4C_B14141921483_.wvu.FilterData" localSheetId="3" hidden="1">#REF!</definedName>
    <definedName name="Z_7319B1DA_C8AE_4D1D_AB4C_B14141921483_.wvu.FilterData" hidden="1">#REF!</definedName>
    <definedName name="Z_75A1B66F_9EE1_4406_8264_C9BF12113183_.wvu.FilterData" localSheetId="3" hidden="1">#REF!</definedName>
    <definedName name="Z_75A1B66F_9EE1_4406_8264_C9BF12113183_.wvu.FilterData" hidden="1">#REF!</definedName>
    <definedName name="Z_7651BD63_D75B_41A5_B133_06AE6A84AE8F_.wvu.FilterData" localSheetId="3" hidden="1">#REF!</definedName>
    <definedName name="Z_7651BD63_D75B_41A5_B133_06AE6A84AE8F_.wvu.FilterData" hidden="1">#REF!</definedName>
    <definedName name="Z_767B7DB4_B657_4E6E_831B_84CA933FFCBE_.wvu.FilterData" localSheetId="3" hidden="1">#REF!</definedName>
    <definedName name="Z_767B7DB4_B657_4E6E_831B_84CA933FFCBE_.wvu.FilterData" hidden="1">#REF!</definedName>
    <definedName name="Z_76FA93EF_40A9_4929_9B4A_2213742C1620_.wvu.FilterData" localSheetId="3" hidden="1">#REF!</definedName>
    <definedName name="Z_76FA93EF_40A9_4929_9B4A_2213742C1620_.wvu.FilterData" hidden="1">#REF!</definedName>
    <definedName name="Z_78A33412_D032_45F7_9C2D_D4A31DB937D9_.wvu.FilterData" localSheetId="3" hidden="1">#REF!</definedName>
    <definedName name="Z_78A33412_D032_45F7_9C2D_D4A31DB937D9_.wvu.FilterData" hidden="1">#REF!</definedName>
    <definedName name="Z_796E4E5E_16C3_474D_B1D5_F6D39CD34051_.wvu.FilterData" localSheetId="3" hidden="1">#REF!</definedName>
    <definedName name="Z_796E4E5E_16C3_474D_B1D5_F6D39CD34051_.wvu.FilterData" hidden="1">#REF!</definedName>
    <definedName name="Z_799FF90A_59EC_11D7_9495_0002B31BFBD5_.wvu.Cols" localSheetId="3" hidden="1">#REF!,#REF!</definedName>
    <definedName name="Z_799FF90A_59EC_11D7_9495_0002B31BFBD5_.wvu.Cols" hidden="1">#REF!,#REF!</definedName>
    <definedName name="Z_799FF90A_59EC_11D7_9495_0002B31BFBD5_.wvu.Rows" localSheetId="3" hidden="1">#REF!,#REF!,#REF!,#REF!,#REF!,#REF!,#REF!,#REF!,#REF!,#REF!,#REF!,#REF!</definedName>
    <definedName name="Z_799FF90A_59EC_11D7_9495_0002B31BFBD5_.wvu.Rows" hidden="1">#REF!,#REF!,#REF!,#REF!,#REF!,#REF!,#REF!,#REF!,#REF!,#REF!,#REF!,#REF!</definedName>
    <definedName name="Z_7BFA9C41_C881_48A8_90C2_F93F8E16E599_.wvu.FilterData" localSheetId="3" hidden="1">#REF!</definedName>
    <definedName name="Z_7BFA9C41_C881_48A8_90C2_F93F8E16E599_.wvu.FilterData" hidden="1">#REF!</definedName>
    <definedName name="Z_7BFBCE1E_B6C5_4BAC_AD95_2B50D2ED28AB_.wvu.FilterData" localSheetId="3" hidden="1">#REF!</definedName>
    <definedName name="Z_7BFBCE1E_B6C5_4BAC_AD95_2B50D2ED28AB_.wvu.FilterData" hidden="1">#REF!</definedName>
    <definedName name="Z_7C6FEBF3_4382_4282_BBB0_E0269BEE42DE_.wvu.FilterData" localSheetId="3" hidden="1">#REF!</definedName>
    <definedName name="Z_7C6FEBF3_4382_4282_BBB0_E0269BEE42DE_.wvu.FilterData" hidden="1">#REF!</definedName>
    <definedName name="Z_7D057642_92FA_4DD6_84C5_B10B17893E1F_.wvu.FilterData" localSheetId="3" hidden="1">#REF!</definedName>
    <definedName name="Z_7D057642_92FA_4DD6_84C5_B10B17893E1F_.wvu.FilterData" hidden="1">#REF!</definedName>
    <definedName name="Z_7ED5F3D1_B838_492E_9467_7E7CE6B348ED_.wvu.FilterData" localSheetId="3" hidden="1">#REF!</definedName>
    <definedName name="Z_7ED5F3D1_B838_492E_9467_7E7CE6B348ED_.wvu.FilterData" hidden="1">#REF!</definedName>
    <definedName name="Z_8090FD3B_94DF_4ACF_9708_D5B9ADEFD29C_.wvu.FilterData" localSheetId="3" hidden="1">#REF!</definedName>
    <definedName name="Z_8090FD3B_94DF_4ACF_9708_D5B9ADEFD29C_.wvu.FilterData" hidden="1">#REF!</definedName>
    <definedName name="Z_8149A5A7_8307_4FA6_B457_A66B8A6DFABD_.wvu.FilterData" localSheetId="3" hidden="1">#REF!</definedName>
    <definedName name="Z_8149A5A7_8307_4FA6_B457_A66B8A6DFABD_.wvu.FilterData" hidden="1">#REF!</definedName>
    <definedName name="Z_819A0FD3_B678_47E8_9DFB_641B3990B590_.wvu.FilterData" localSheetId="3" hidden="1">#REF!</definedName>
    <definedName name="Z_819A0FD3_B678_47E8_9DFB_641B3990B590_.wvu.FilterData" hidden="1">#REF!</definedName>
    <definedName name="Z_82999604_BD48_4054_BDCB_CB8B074A34A3_.wvu.FilterData" localSheetId="3" hidden="1">#REF!</definedName>
    <definedName name="Z_82999604_BD48_4054_BDCB_CB8B074A34A3_.wvu.FilterData" hidden="1">#REF!</definedName>
    <definedName name="Z_8473B3F0_0740_4E9F_9BAE_9113E5077DE8_.wvu.FilterData" localSheetId="3" hidden="1">#REF!</definedName>
    <definedName name="Z_8473B3F0_0740_4E9F_9BAE_9113E5077DE8_.wvu.FilterData" hidden="1">#REF!</definedName>
    <definedName name="Z_85A83A94_71B4_44C8_8B5A_68CAA2461241_.wvu.FilterData" localSheetId="3" hidden="1">#REF!</definedName>
    <definedName name="Z_85A83A94_71B4_44C8_8B5A_68CAA2461241_.wvu.FilterData" hidden="1">#REF!</definedName>
    <definedName name="Z_86E0C273_91AF_11D7_9C1E_0004231B06E7_.wvu.FilterData" localSheetId="3" hidden="1">#REF!</definedName>
    <definedName name="Z_86E0C273_91AF_11D7_9C1E_0004231B06E7_.wvu.FilterData" hidden="1">#REF!</definedName>
    <definedName name="Z_87F04A72_68BF_497D_8569_47D1A3B89590_.wvu.FilterData" localSheetId="3" hidden="1">#REF!</definedName>
    <definedName name="Z_87F04A72_68BF_497D_8569_47D1A3B89590_.wvu.FilterData" hidden="1">#REF!</definedName>
    <definedName name="Z_893CBEFD_F317_41F0_BA87_CC1860E1F73B_.wvu.FilterData" localSheetId="3" hidden="1">#REF!</definedName>
    <definedName name="Z_893CBEFD_F317_41F0_BA87_CC1860E1F73B_.wvu.FilterData" hidden="1">#REF!</definedName>
    <definedName name="Z_89D83FA2_2F4F_4275_9074_3A6247C2CDA6_.wvu.FilterData" localSheetId="3" hidden="1">#REF!</definedName>
    <definedName name="Z_89D83FA2_2F4F_4275_9074_3A6247C2CDA6_.wvu.FilterData" hidden="1">#REF!</definedName>
    <definedName name="Z_8B2E8E84_1A68_4B75_A867_04E8EAC8E685_.wvu.FilterData" localSheetId="3" hidden="1">#REF!</definedName>
    <definedName name="Z_8B2E8E84_1A68_4B75_A867_04E8EAC8E685_.wvu.FilterData" hidden="1">#REF!</definedName>
    <definedName name="Z_8B5FADF8_BAFC_44E0_9D1D_DE21657D83CA_.wvu.FilterData" localSheetId="3" hidden="1">#REF!</definedName>
    <definedName name="Z_8B5FADF8_BAFC_44E0_9D1D_DE21657D83CA_.wvu.FilterData" hidden="1">#REF!</definedName>
    <definedName name="Z_8CBA7976_3F45_4926_8F5C_251343B1DCDB_.wvu.FilterData" localSheetId="3" hidden="1">#REF!</definedName>
    <definedName name="Z_8CBA7976_3F45_4926_8F5C_251343B1DCDB_.wvu.FilterData" hidden="1">#REF!</definedName>
    <definedName name="Z_8D213052_8AFD_4E06_B410_DCB431062572_.wvu.FilterData" localSheetId="3" hidden="1">#REF!</definedName>
    <definedName name="Z_8D213052_8AFD_4E06_B410_DCB431062572_.wvu.FilterData" hidden="1">#REF!</definedName>
    <definedName name="Z_8EA755F4_0515_4AA0_970C_55F473C7FD9B_.wvu.FilterData" localSheetId="3" hidden="1">#REF!</definedName>
    <definedName name="Z_8EA755F4_0515_4AA0_970C_55F473C7FD9B_.wvu.FilterData" hidden="1">#REF!</definedName>
    <definedName name="Z_8F33F4E3_A14E_4DD4_ADD4_B19023A45B10_.wvu.FilterData" localSheetId="3" hidden="1">#REF!</definedName>
    <definedName name="Z_8F33F4E3_A14E_4DD4_ADD4_B19023A45B10_.wvu.FilterData" hidden="1">#REF!</definedName>
    <definedName name="Z_901BF8EA_CA8A_411C_8FD3_BCB793FCF48A_.wvu.FilterData" localSheetId="3" hidden="1">#REF!</definedName>
    <definedName name="Z_901BF8EA_CA8A_411C_8FD3_BCB793FCF48A_.wvu.FilterData" hidden="1">#REF!</definedName>
    <definedName name="Z_91488B6D_F045_4050_BA1B_41C2E3B3B10A_.wvu.FilterData" localSheetId="3" hidden="1">#REF!</definedName>
    <definedName name="Z_91488B6D_F045_4050_BA1B_41C2E3B3B10A_.wvu.FilterData" hidden="1">#REF!</definedName>
    <definedName name="Z_92919032_3A1D_4E0A_A8D8_FD23494D13A8_.wvu.FilterData" localSheetId="3" hidden="1">#REF!</definedName>
    <definedName name="Z_92919032_3A1D_4E0A_A8D8_FD23494D13A8_.wvu.FilterData" hidden="1">#REF!</definedName>
    <definedName name="Z_9587B38A_B060_410B_8598_4B23623A371C_.wvu.FilterData" localSheetId="3" hidden="1">#REF!</definedName>
    <definedName name="Z_9587B38A_B060_410B_8598_4B23623A371C_.wvu.FilterData" hidden="1">#REF!</definedName>
    <definedName name="Z_96EB0306_BB94_45E8_9D0D_4C07A6623010_.wvu.FilterData" localSheetId="3" hidden="1">#REF!</definedName>
    <definedName name="Z_96EB0306_BB94_45E8_9D0D_4C07A6623010_.wvu.FilterData" hidden="1">#REF!</definedName>
    <definedName name="Z_97666733_8666_4F9D_9588_AF9B6CF9224C_.wvu.FilterData" localSheetId="3" hidden="1">#REF!</definedName>
    <definedName name="Z_97666733_8666_4F9D_9588_AF9B6CF9224C_.wvu.FilterData" hidden="1">#REF!</definedName>
    <definedName name="Z_98599B4F_1D05_4040_9183_E1D7A1DDEB9C_.wvu.FilterData" localSheetId="3" hidden="1">#REF!</definedName>
    <definedName name="Z_98599B4F_1D05_4040_9183_E1D7A1DDEB9C_.wvu.FilterData" hidden="1">#REF!</definedName>
    <definedName name="Z_98C8BF36_C172_45C3_8EFB_521E6ACCA0D3_.wvu.FilterData" localSheetId="3" hidden="1">#REF!</definedName>
    <definedName name="Z_98C8BF36_C172_45C3_8EFB_521E6ACCA0D3_.wvu.FilterData" hidden="1">#REF!</definedName>
    <definedName name="Z_9A372634_7C2D_4502_BF44_0C63FD1FB6D2_.wvu.FilterData" localSheetId="3" hidden="1">#REF!</definedName>
    <definedName name="Z_9A372634_7C2D_4502_BF44_0C63FD1FB6D2_.wvu.FilterData" hidden="1">#REF!</definedName>
    <definedName name="Z_9A5CC0D4_28E7_4461_BE2E_802002496535_.wvu.FilterData" localSheetId="3" hidden="1">#REF!</definedName>
    <definedName name="Z_9A5CC0D4_28E7_4461_BE2E_802002496535_.wvu.FilterData" hidden="1">#REF!</definedName>
    <definedName name="Z_9C86BF25_210A_4B5C_9F2A_856CA801294A_.wvu.FilterData" localSheetId="3" hidden="1">#REF!</definedName>
    <definedName name="Z_9C86BF25_210A_4B5C_9F2A_856CA801294A_.wvu.FilterData" hidden="1">#REF!</definedName>
    <definedName name="Z_9C8AF864_7E20_415C_848E_C2849E8CBF0C_.wvu.FilterData" localSheetId="3" hidden="1">#REF!</definedName>
    <definedName name="Z_9C8AF864_7E20_415C_848E_C2849E8CBF0C_.wvu.FilterData" hidden="1">#REF!</definedName>
    <definedName name="Z_9E7B61E2_2701_4257_A261_86548A6D7D7C_.wvu.FilterData" localSheetId="3" hidden="1">#REF!</definedName>
    <definedName name="Z_9E7B61E2_2701_4257_A261_86548A6D7D7C_.wvu.FilterData" hidden="1">#REF!</definedName>
    <definedName name="Z_A0276843_5A14_4A7A_AD1C_583475FE9ED2_.wvu.FilterData" localSheetId="3" hidden="1">#REF!</definedName>
    <definedName name="Z_A0276843_5A14_4A7A_AD1C_583475FE9ED2_.wvu.FilterData" hidden="1">#REF!</definedName>
    <definedName name="Z_A2CB926C_E33A_4E38_9626_682814771DB1_.wvu.FilterData" localSheetId="3" hidden="1">#REF!</definedName>
    <definedName name="Z_A2CB926C_E33A_4E38_9626_682814771DB1_.wvu.FilterData" hidden="1">#REF!</definedName>
    <definedName name="Z_A320C8A7_8D87_4204_85D4_AE25493D1363_.wvu.FilterData" localSheetId="3" hidden="1">#REF!</definedName>
    <definedName name="Z_A320C8A7_8D87_4204_85D4_AE25493D1363_.wvu.FilterData" hidden="1">#REF!</definedName>
    <definedName name="Z_A5F4C2AC_640B_40D9_88C9_69B3215DBE96_.wvu.FilterData" localSheetId="3" hidden="1">#REF!</definedName>
    <definedName name="Z_A5F4C2AC_640B_40D9_88C9_69B3215DBE96_.wvu.FilterData" hidden="1">#REF!</definedName>
    <definedName name="Z_A686C168_1672_48B1_ADFD_481A1276CC81_.wvu.FilterData" localSheetId="3" hidden="1">#REF!</definedName>
    <definedName name="Z_A686C168_1672_48B1_ADFD_481A1276CC81_.wvu.FilterData" hidden="1">#REF!</definedName>
    <definedName name="Z_A933351F_4BD3_4901_98D5_53D192BD61DC_.wvu.FilterData" localSheetId="3" hidden="1">#REF!</definedName>
    <definedName name="Z_A933351F_4BD3_4901_98D5_53D192BD61DC_.wvu.FilterData" hidden="1">#REF!</definedName>
    <definedName name="Z_AA0BD2F5_1513_40DB_B224_CC27CA57E181_.wvu.FilterData" localSheetId="3" hidden="1">#REF!</definedName>
    <definedName name="Z_AA0BD2F5_1513_40DB_B224_CC27CA57E181_.wvu.FilterData" hidden="1">#REF!</definedName>
    <definedName name="Z_AA329A38_94E6_4014_8D54_EFB48C7FA433_.wvu.FilterData" localSheetId="3" hidden="1">#REF!</definedName>
    <definedName name="Z_AA329A38_94E6_4014_8D54_EFB48C7FA433_.wvu.FilterData" hidden="1">#REF!</definedName>
    <definedName name="Z_AC5679A6_5A24_441C_BBA3_F0C9D8E8E441_.wvu.FilterData" localSheetId="3" hidden="1">#REF!</definedName>
    <definedName name="Z_AC5679A6_5A24_441C_BBA3_F0C9D8E8E441_.wvu.FilterData" hidden="1">#REF!</definedName>
    <definedName name="Z_ACE528A7_3516_429C_8E77_FA07F86ED2D8_.wvu.Cols" localSheetId="3" hidden="1">#REF!</definedName>
    <definedName name="Z_ACE528A7_3516_429C_8E77_FA07F86ED2D8_.wvu.Cols" hidden="1">#REF!</definedName>
    <definedName name="Z_AE302359_F16A_4874_8921_3865B0ECD878_.wvu.FilterData" localSheetId="3" hidden="1">#REF!</definedName>
    <definedName name="Z_AE302359_F16A_4874_8921_3865B0ECD878_.wvu.FilterData" hidden="1">#REF!</definedName>
    <definedName name="Z_AF0BF736_181F_4A59_8FB9_D3BCA8E591F7_.wvu.FilterData" localSheetId="3" hidden="1">#REF!</definedName>
    <definedName name="Z_AF0BF736_181F_4A59_8FB9_D3BCA8E591F7_.wvu.FilterData" hidden="1">#REF!</definedName>
    <definedName name="Z_AF12B415_1D2E_4088_9C86_BB0173951217_.wvu.FilterData" localSheetId="3" hidden="1">#REF!</definedName>
    <definedName name="Z_AF12B415_1D2E_4088_9C86_BB0173951217_.wvu.FilterData" hidden="1">#REF!</definedName>
    <definedName name="Z_AF537E87_E5DE_4792_8C82_FFA1FC35463A_.wvu.FilterData" localSheetId="3" hidden="1">#REF!</definedName>
    <definedName name="Z_AF537E87_E5DE_4792_8C82_FFA1FC35463A_.wvu.FilterData" hidden="1">#REF!</definedName>
    <definedName name="Z_B1269BAB_A618_45E5_8379_9ECE98405A14_.wvu.FilterData" localSheetId="3" hidden="1">#REF!</definedName>
    <definedName name="Z_B1269BAB_A618_45E5_8379_9ECE98405A14_.wvu.FilterData" hidden="1">#REF!</definedName>
    <definedName name="Z_B20EEB3D_E9E6_496E_8678_B417DDC74718_.wvu.FilterData" localSheetId="3" hidden="1">#REF!</definedName>
    <definedName name="Z_B20EEB3D_E9E6_496E_8678_B417DDC74718_.wvu.FilterData" hidden="1">#REF!</definedName>
    <definedName name="Z_B4864B96_AD18_4114_8AFA_A8BAA8915737_.wvu.FilterData" localSheetId="3" hidden="1">#REF!</definedName>
    <definedName name="Z_B4864B96_AD18_4114_8AFA_A8BAA8915737_.wvu.FilterData" hidden="1">#REF!</definedName>
    <definedName name="Z_B645C4A8_1830_42C7_9DBF_0F519499A6CE_.wvu.FilterData" localSheetId="3" hidden="1">#REF!</definedName>
    <definedName name="Z_B645C4A8_1830_42C7_9DBF_0F519499A6CE_.wvu.FilterData" hidden="1">#REF!</definedName>
    <definedName name="Z_B7475313_60A1_440E_A07B_6B97978B34F2_.wvu.FilterData" localSheetId="3" hidden="1">#REF!</definedName>
    <definedName name="Z_B7475313_60A1_440E_A07B_6B97978B34F2_.wvu.FilterData" hidden="1">#REF!</definedName>
    <definedName name="Z_B891B51F_1CA2_435F_A819_8A494B08D3EE_.wvu.FilterData" localSheetId="3" hidden="1">#REF!</definedName>
    <definedName name="Z_B891B51F_1CA2_435F_A819_8A494B08D3EE_.wvu.FilterData" hidden="1">#REF!</definedName>
    <definedName name="Z_B8CE2FA5_D3F2_48A0_8603_A3FBA2808CB4_.wvu.FilterData" localSheetId="3" hidden="1">#REF!</definedName>
    <definedName name="Z_B8CE2FA5_D3F2_48A0_8603_A3FBA2808CB4_.wvu.FilterData" hidden="1">#REF!</definedName>
    <definedName name="Z_B9837360_94DA_11D7_9C1E_0004231B06E7_.wvu.FilterData" localSheetId="3" hidden="1">#REF!</definedName>
    <definedName name="Z_B9837360_94DA_11D7_9C1E_0004231B06E7_.wvu.FilterData" hidden="1">#REF!</definedName>
    <definedName name="Z_BBE1AFA0_C6F6_4019_9D53_075DA4654337_.wvu.FilterData" localSheetId="3" hidden="1">#REF!</definedName>
    <definedName name="Z_BBE1AFA0_C6F6_4019_9D53_075DA4654337_.wvu.FilterData" hidden="1">#REF!</definedName>
    <definedName name="Z_BC0EED6A_3F15_49FF_A48F_B40AC74B528A_.wvu.FilterData" localSheetId="3" hidden="1">#REF!</definedName>
    <definedName name="Z_BC0EED6A_3F15_49FF_A48F_B40AC74B528A_.wvu.FilterData" hidden="1">#REF!</definedName>
    <definedName name="Z_BC4212E8_2D54_48E9_A2B4_66875F86EBEF_.wvu.FilterData" localSheetId="3" hidden="1">#REF!</definedName>
    <definedName name="Z_BC4212E8_2D54_48E9_A2B4_66875F86EBEF_.wvu.FilterData" hidden="1">#REF!</definedName>
    <definedName name="Z_BE48B5BF_102F_4FB8_8807_DA126440E01B_.wvu.FilterData" localSheetId="3" hidden="1">#REF!</definedName>
    <definedName name="Z_BE48B5BF_102F_4FB8_8807_DA126440E01B_.wvu.FilterData" hidden="1">#REF!</definedName>
    <definedName name="Z_BE949522_4A35_4352_9A91_0CE0E28D3461_.wvu.FilterData" localSheetId="3" hidden="1">#REF!</definedName>
    <definedName name="Z_BE949522_4A35_4352_9A91_0CE0E28D3461_.wvu.FilterData" hidden="1">#REF!</definedName>
    <definedName name="Z_C1310828_8567_4952_A9D3_7183F1221321_.wvu.FilterData" localSheetId="3" hidden="1">#REF!</definedName>
    <definedName name="Z_C1310828_8567_4952_A9D3_7183F1221321_.wvu.FilterData" hidden="1">#REF!</definedName>
    <definedName name="Z_C581774C_2FCD_4906_B930_CCB3F9F9A50B_.wvu.FilterData" localSheetId="3" hidden="1">#REF!</definedName>
    <definedName name="Z_C581774C_2FCD_4906_B930_CCB3F9F9A50B_.wvu.FilterData" hidden="1">#REF!</definedName>
    <definedName name="Z_C67C9A44_7556_4756_AC39_E00F137116ED_.wvu.FilterData" localSheetId="3" hidden="1">#REF!</definedName>
    <definedName name="Z_C67C9A44_7556_4756_AC39_E00F137116ED_.wvu.FilterData" hidden="1">#REF!</definedName>
    <definedName name="Z_C908089F_9A5A_11D7_9C1E_0004231B06E7_.wvu.FilterData" localSheetId="3" hidden="1">#REF!</definedName>
    <definedName name="Z_C908089F_9A5A_11D7_9C1E_0004231B06E7_.wvu.FilterData" hidden="1">#REF!</definedName>
    <definedName name="Z_C942EE3A_8DBF_41D7_ADAF_F43C01F31E23_.wvu.FilterData" localSheetId="3" hidden="1">#REF!</definedName>
    <definedName name="Z_C942EE3A_8DBF_41D7_ADAF_F43C01F31E23_.wvu.FilterData" hidden="1">#REF!</definedName>
    <definedName name="Z_CB8FB7EE_B771_11D7_9C1E_0004231B06E7_.wvu.FilterData" localSheetId="3" hidden="1">#REF!</definedName>
    <definedName name="Z_CB8FB7EE_B771_11D7_9C1E_0004231B06E7_.wvu.FilterData" hidden="1">#REF!</definedName>
    <definedName name="Z_CB8FB7F1_B771_11D7_9C1E_0004231B06E7_.wvu.FilterData" localSheetId="3" hidden="1">#REF!</definedName>
    <definedName name="Z_CB8FB7F1_B771_11D7_9C1E_0004231B06E7_.wvu.FilterData" hidden="1">#REF!</definedName>
    <definedName name="Z_CD48E0DF_E307_492A_9CFD_ADF6DE6ECCFB_.wvu.FilterData" localSheetId="3" hidden="1">#REF!</definedName>
    <definedName name="Z_CD48E0DF_E307_492A_9CFD_ADF6DE6ECCFB_.wvu.FilterData" hidden="1">#REF!</definedName>
    <definedName name="Z_CDAD3BC7_95B1_4949_91B3_EAB234D2A550_.wvu.FilterData" localSheetId="3" hidden="1">#REF!</definedName>
    <definedName name="Z_CDAD3BC7_95B1_4949_91B3_EAB234D2A550_.wvu.FilterData" hidden="1">#REF!</definedName>
    <definedName name="Z_CE1A6073_4007_44EE_88D3_3C79CF746C78_.wvu.FilterData" localSheetId="3" hidden="1">#REF!</definedName>
    <definedName name="Z_CE1A6073_4007_44EE_88D3_3C79CF746C78_.wvu.FilterData" hidden="1">#REF!</definedName>
    <definedName name="Z_D0500033_B90B_46E5_BD62_60D0DA033A55_.wvu.FilterData" localSheetId="3" hidden="1">#REF!</definedName>
    <definedName name="Z_D0500033_B90B_46E5_BD62_60D0DA033A55_.wvu.FilterData" hidden="1">#REF!</definedName>
    <definedName name="Z_D11C04A2_606C_4EF4_9AD3_4865E5EFAE70_.wvu.FilterData" localSheetId="3" hidden="1">#REF!</definedName>
    <definedName name="Z_D11C04A2_606C_4EF4_9AD3_4865E5EFAE70_.wvu.FilterData" hidden="1">#REF!</definedName>
    <definedName name="Z_D1371C66_ADFD_11D7_9C1E_0004231B06E7_.wvu.FilterData" localSheetId="3" hidden="1">#REF!</definedName>
    <definedName name="Z_D1371C66_ADFD_11D7_9C1E_0004231B06E7_.wvu.FilterData" hidden="1">#REF!</definedName>
    <definedName name="Z_D1371C82_ADFD_11D7_9C1E_0004231B06E7_.wvu.FilterData" localSheetId="3" hidden="1">#REF!</definedName>
    <definedName name="Z_D1371C82_ADFD_11D7_9C1E_0004231B06E7_.wvu.FilterData" hidden="1">#REF!</definedName>
    <definedName name="Z_D1371C98_ADFD_11D7_9C1E_0004231B06E7_.wvu.FilterData" localSheetId="3" hidden="1">#REF!</definedName>
    <definedName name="Z_D1371C98_ADFD_11D7_9C1E_0004231B06E7_.wvu.FilterData" hidden="1">#REF!</definedName>
    <definedName name="Z_D15727E9_9BC2_420E_AC98_E8E9B60BD754_.wvu.FilterData" localSheetId="3" hidden="1">#REF!</definedName>
    <definedName name="Z_D15727E9_9BC2_420E_AC98_E8E9B60BD754_.wvu.FilterData" hidden="1">#REF!</definedName>
    <definedName name="Z_D371D622_5497_46A4_826D_01F2F492E39D_.wvu.FilterData" localSheetId="3" hidden="1">#REF!</definedName>
    <definedName name="Z_D371D622_5497_46A4_826D_01F2F492E39D_.wvu.FilterData" hidden="1">#REF!</definedName>
    <definedName name="Z_D3FF2053_BD11_4CA8_9648_A06F387C0C79_.wvu.FilterData" localSheetId="3" hidden="1">#REF!</definedName>
    <definedName name="Z_D3FF2053_BD11_4CA8_9648_A06F387C0C79_.wvu.FilterData" hidden="1">#REF!</definedName>
    <definedName name="Z_D4D6DC3A_302F_4BF4_8221_EFB7EA05B30F_.wvu.FilterData" localSheetId="3" hidden="1">#REF!</definedName>
    <definedName name="Z_D4D6DC3A_302F_4BF4_8221_EFB7EA05B30F_.wvu.FilterData" hidden="1">#REF!</definedName>
    <definedName name="Z_D4FF4BA0_F9BE_4CEE_B334_FBD19DA86BF4_.wvu.FilterData" localSheetId="3" hidden="1">#REF!</definedName>
    <definedName name="Z_D4FF4BA0_F9BE_4CEE_B334_FBD19DA86BF4_.wvu.FilterData" hidden="1">#REF!</definedName>
    <definedName name="Z_D5810466_54E3_455B_B341_3E7B86FB72D3_.wvu.FilterData" localSheetId="3" hidden="1">#REF!</definedName>
    <definedName name="Z_D5810466_54E3_455B_B341_3E7B86FB72D3_.wvu.FilterData" hidden="1">#REF!</definedName>
    <definedName name="Z_D60B1DF7_D653_4F01_B5AD_6A66E578C24F_.wvu.FilterData" localSheetId="3" hidden="1">#REF!</definedName>
    <definedName name="Z_D60B1DF7_D653_4F01_B5AD_6A66E578C24F_.wvu.FilterData" hidden="1">#REF!</definedName>
    <definedName name="Z_D684BA0E_B94B_4BF7_8F27_4E3A1924425C_.wvu.FilterData" localSheetId="3" hidden="1">#REF!</definedName>
    <definedName name="Z_D684BA0E_B94B_4BF7_8F27_4E3A1924425C_.wvu.FilterData" hidden="1">#REF!</definedName>
    <definedName name="Z_D9443332_B48E_4E65_8F23_AC96FB75A5A9_.wvu.FilterData" localSheetId="3" hidden="1">#REF!</definedName>
    <definedName name="Z_D9443332_B48E_4E65_8F23_AC96FB75A5A9_.wvu.FilterData" hidden="1">#REF!</definedName>
    <definedName name="Z_DAA35AF8_874B_4671_A195_994D9700CFB0_.wvu.FilterData" localSheetId="3" hidden="1">#REF!</definedName>
    <definedName name="Z_DAA35AF8_874B_4671_A195_994D9700CFB0_.wvu.FilterData" hidden="1">#REF!</definedName>
    <definedName name="Z_DB31579F_8662_40C5_BB19_660F0F7B70E5_.wvu.FilterData" localSheetId="3" hidden="1">#REF!</definedName>
    <definedName name="Z_DB31579F_8662_40C5_BB19_660F0F7B70E5_.wvu.FilterData" hidden="1">#REF!</definedName>
    <definedName name="Z_DB349C77_BBCF_4BF0_8906_770DC9CEB279_.wvu.FilterData" localSheetId="3" hidden="1">#REF!</definedName>
    <definedName name="Z_DB349C77_BBCF_4BF0_8906_770DC9CEB279_.wvu.FilterData" hidden="1">#REF!</definedName>
    <definedName name="Z_DBA9A16F_C863_43D6_BEF6_4907AD7FF11A_.wvu.FilterData" localSheetId="3" hidden="1">#REF!</definedName>
    <definedName name="Z_DBA9A16F_C863_43D6_BEF6_4907AD7FF11A_.wvu.FilterData" hidden="1">#REF!</definedName>
    <definedName name="Z_DC39DC03_5BF1_41DE_A26D_8DA774859990_.wvu.FilterData" localSheetId="3" hidden="1">#REF!</definedName>
    <definedName name="Z_DC39DC03_5BF1_41DE_A26D_8DA774859990_.wvu.FilterData" hidden="1">#REF!</definedName>
    <definedName name="Z_DC4BE57B_E9B6_4823_AAB5_0B4AD0A1C9F8_.wvu.FilterData" localSheetId="3" hidden="1">#REF!</definedName>
    <definedName name="Z_DC4BE57B_E9B6_4823_AAB5_0B4AD0A1C9F8_.wvu.FilterData" hidden="1">#REF!</definedName>
    <definedName name="Z_DD40B456_B833_4D7B_A3C9_47AA2D6A0830_.wvu.FilterData" localSheetId="3" hidden="1">#REF!</definedName>
    <definedName name="Z_DD40B456_B833_4D7B_A3C9_47AA2D6A0830_.wvu.FilterData" hidden="1">#REF!</definedName>
    <definedName name="Z_DDC9046D_2716_4CA3_9471_7091058B3C12_.wvu.FilterData" localSheetId="3" hidden="1">#REF!</definedName>
    <definedName name="Z_DDC9046D_2716_4CA3_9471_7091058B3C12_.wvu.FilterData" hidden="1">#REF!</definedName>
    <definedName name="Z_DF3B204A_F509_4DA0_BCB7_F89536B5FEBF_.wvu.FilterData" localSheetId="3" hidden="1">#REF!</definedName>
    <definedName name="Z_DF3B204A_F509_4DA0_BCB7_F89536B5FEBF_.wvu.FilterData" hidden="1">#REF!</definedName>
    <definedName name="Z_E3FFE9E0_6C4F_4FB4_A56E_FBE96871B5C8_.wvu.Cols" localSheetId="3" hidden="1">#REF!,#REF!</definedName>
    <definedName name="Z_E3FFE9E0_6C4F_4FB4_A56E_FBE96871B5C8_.wvu.Cols" hidden="1">#REF!,#REF!</definedName>
    <definedName name="Z_E3FFE9E0_6C4F_4FB4_A56E_FBE96871B5C8_.wvu.FilterData" localSheetId="3" hidden="1">#REF!</definedName>
    <definedName name="Z_E3FFE9E0_6C4F_4FB4_A56E_FBE96871B5C8_.wvu.FilterData" hidden="1">#REF!</definedName>
    <definedName name="Z_E42D429F_E4E8_41D2_9176_83C726BAF8E3_.wvu.FilterData" localSheetId="3" hidden="1">#REF!</definedName>
    <definedName name="Z_E42D429F_E4E8_41D2_9176_83C726BAF8E3_.wvu.FilterData" hidden="1">#REF!</definedName>
    <definedName name="Z_E491B72F_902A_11D7_9C1E_0004231B06E7_.wvu.FilterData" localSheetId="3" hidden="1">#REF!</definedName>
    <definedName name="Z_E491B72F_902A_11D7_9C1E_0004231B06E7_.wvu.FilterData" hidden="1">#REF!</definedName>
    <definedName name="Z_E491B77E_902A_11D7_9C1E_0004231B06E7_.wvu.FilterData" localSheetId="3" hidden="1">#REF!</definedName>
    <definedName name="Z_E491B77E_902A_11D7_9C1E_0004231B06E7_.wvu.FilterData" hidden="1">#REF!</definedName>
    <definedName name="Z_E4A534A8_CD89_4423_9F3F_8134353F3CAC_.wvu.FilterData" localSheetId="3" hidden="1">#REF!</definedName>
    <definedName name="Z_E4A534A8_CD89_4423_9F3F_8134353F3CAC_.wvu.FilterData" hidden="1">#REF!</definedName>
    <definedName name="Z_E4E1532E_DC25_47E7_8CAC_8E70342889F1_.wvu.FilterData" localSheetId="3" hidden="1">#REF!</definedName>
    <definedName name="Z_E4E1532E_DC25_47E7_8CAC_8E70342889F1_.wvu.FilterData" hidden="1">#REF!</definedName>
    <definedName name="Z_E74731A0_5CEF_4B97_AFDD_B1DCA3953478_.wvu.FilterData" localSheetId="3" hidden="1">#REF!</definedName>
    <definedName name="Z_E74731A0_5CEF_4B97_AFDD_B1DCA3953478_.wvu.FilterData" hidden="1">#REF!</definedName>
    <definedName name="Z_E7582842_0D7F_4174_A223_2AB1DD8C9047_.wvu.FilterData" localSheetId="3" hidden="1">#REF!</definedName>
    <definedName name="Z_E7582842_0D7F_4174_A223_2AB1DD8C9047_.wvu.FilterData" hidden="1">#REF!</definedName>
    <definedName name="Z_E7E3B215_0D2B_424B_B9A9_091ABF42A9B2_.wvu.FilterData" localSheetId="3" hidden="1">#REF!</definedName>
    <definedName name="Z_E7E3B215_0D2B_424B_B9A9_091ABF42A9B2_.wvu.FilterData" hidden="1">#REF!</definedName>
    <definedName name="Z_E833D806_B408_4951_8EA0_84873DD98CC6_.wvu.FilterData" localSheetId="3" hidden="1">#REF!</definedName>
    <definedName name="Z_E833D806_B408_4951_8EA0_84873DD98CC6_.wvu.FilterData" hidden="1">#REF!</definedName>
    <definedName name="Z_E84FA520_D8B7_472A_9913_1B62E15D532D_.wvu.FilterData" localSheetId="3" hidden="1">#REF!</definedName>
    <definedName name="Z_E84FA520_D8B7_472A_9913_1B62E15D532D_.wvu.FilterData" hidden="1">#REF!</definedName>
    <definedName name="Z_E856A7FB_F0DE_4CE8_85BE_FBD78193AF0B_.wvu.FilterData" localSheetId="3" hidden="1">#REF!</definedName>
    <definedName name="Z_E856A7FB_F0DE_4CE8_85BE_FBD78193AF0B_.wvu.FilterData" hidden="1">#REF!</definedName>
    <definedName name="Z_E8B81FC8_C17A_451A_B505_641DE5886245_.wvu.FilterData" localSheetId="3" hidden="1">#REF!</definedName>
    <definedName name="Z_E8B81FC8_C17A_451A_B505_641DE5886245_.wvu.FilterData" hidden="1">#REF!</definedName>
    <definedName name="Z_EA900FC6_5EC3_4E18_9ED9_37FAC8862A4C_.wvu.FilterData" localSheetId="3" hidden="1">#REF!</definedName>
    <definedName name="Z_EA900FC6_5EC3_4E18_9ED9_37FAC8862A4C_.wvu.FilterData" hidden="1">#REF!</definedName>
    <definedName name="Z_EC12F0CE_807C_4CF2_B52D_1E5945238C05_.wvu.FilterData" localSheetId="3" hidden="1">#REF!</definedName>
    <definedName name="Z_EC12F0CE_807C_4CF2_B52D_1E5945238C05_.wvu.FilterData" hidden="1">#REF!</definedName>
    <definedName name="Z_EC74CDC8_4C91_4C55_BE9F_24DF0A9793FF_.wvu.FilterData" localSheetId="3" hidden="1">#REF!</definedName>
    <definedName name="Z_EC74CDC8_4C91_4C55_BE9F_24DF0A9793FF_.wvu.FilterData" hidden="1">#REF!</definedName>
    <definedName name="Z_ED3E33DB_FBFA_4FDE_929F_AD12074101A3_.wvu.FilterData" localSheetId="3" hidden="1">#REF!</definedName>
    <definedName name="Z_ED3E33DB_FBFA_4FDE_929F_AD12074101A3_.wvu.FilterData" hidden="1">#REF!</definedName>
    <definedName name="Z_EE21DFC7_81AA_40DA_B313_9BC83DA41DD6_.wvu.FilterData" localSheetId="3" hidden="1">#REF!</definedName>
    <definedName name="Z_EE21DFC7_81AA_40DA_B313_9BC83DA41DD6_.wvu.FilterData" hidden="1">#REF!</definedName>
    <definedName name="Z_EE5311D7_3149_40F1_82F5_7EEC6ACB6C85_.wvu.FilterData" localSheetId="3" hidden="1">#REF!</definedName>
    <definedName name="Z_EE5311D7_3149_40F1_82F5_7EEC6ACB6C85_.wvu.FilterData" hidden="1">#REF!</definedName>
    <definedName name="Z_EEE8CD21_C3A5_4786_B8BE_B9E68F0A5347_.wvu.FilterData" localSheetId="3" hidden="1">#REF!</definedName>
    <definedName name="Z_EEE8CD21_C3A5_4786_B8BE_B9E68F0A5347_.wvu.FilterData" hidden="1">#REF!</definedName>
    <definedName name="Z_F0522591_4E2E_4AD6_B99B_B69551272A68_.wvu.FilterData" localSheetId="3" hidden="1">#REF!</definedName>
    <definedName name="Z_F0522591_4E2E_4AD6_B99B_B69551272A68_.wvu.FilterData" hidden="1">#REF!</definedName>
    <definedName name="Z_F1326E0B_5376_4D6E_9BC8_214AA525DE83_.wvu.FilterData" localSheetId="3" hidden="1">#REF!</definedName>
    <definedName name="Z_F1326E0B_5376_4D6E_9BC8_214AA525DE83_.wvu.FilterData" hidden="1">#REF!</definedName>
    <definedName name="Z_F300E2D5_C458_4E4B_AB71_FF06367EF684_.wvu.FilterData" localSheetId="3" hidden="1">#REF!</definedName>
    <definedName name="Z_F300E2D5_C458_4E4B_AB71_FF06367EF684_.wvu.FilterData" hidden="1">#REF!</definedName>
    <definedName name="Z_F3F443DB_8EE1_48F9_9BF4_EAF21EDD719F_.wvu.FilterData" localSheetId="3" hidden="1">#REF!</definedName>
    <definedName name="Z_F3F443DB_8EE1_48F9_9BF4_EAF21EDD719F_.wvu.FilterData" hidden="1">#REF!</definedName>
    <definedName name="Z_F6923408_DB58_4A59_8717_D0133A922204_.wvu.FilterData" localSheetId="3" hidden="1">#REF!</definedName>
    <definedName name="Z_F6923408_DB58_4A59_8717_D0133A922204_.wvu.FilterData" hidden="1">#REF!</definedName>
    <definedName name="Z_F9CB3A99_6D24_412C_93C4_575819594890_.wvu.FilterData" localSheetId="3" hidden="1">#REF!</definedName>
    <definedName name="Z_F9CB3A99_6D24_412C_93C4_575819594890_.wvu.FilterData" hidden="1">#REF!</definedName>
    <definedName name="Z_FA40CB26_17FE_4901_96A4_2176E8FA5EEE_.wvu.FilterData" localSheetId="3" hidden="1">#REF!</definedName>
    <definedName name="Z_FA40CB26_17FE_4901_96A4_2176E8FA5EEE_.wvu.FilterData" hidden="1">#REF!</definedName>
    <definedName name="Z_FC4D1412_4B52_4393_A184_1BAD70B9C231_.wvu.FilterData" localSheetId="3" hidden="1">#REF!</definedName>
    <definedName name="Z_FC4D1412_4B52_4393_A184_1BAD70B9C231_.wvu.FilterData" hidden="1">#REF!</definedName>
    <definedName name="Z_FD259A29_AD61_4284_9BC7_5C3B20DD002B_.wvu.FilterData" localSheetId="3" hidden="1">#REF!</definedName>
    <definedName name="Z_FD259A29_AD61_4284_9BC7_5C3B20DD002B_.wvu.FilterData" hidden="1">#REF!</definedName>
    <definedName name="Z_FDFF93A6_D487_497C_8FA1_B8636451E74C_.wvu.FilterData" localSheetId="3" hidden="1">#REF!</definedName>
    <definedName name="Z_FDFF93A6_D487_497C_8FA1_B8636451E74C_.wvu.FilterData" hidden="1">#REF!</definedName>
    <definedName name="Z_FE37516D_56E4_424C_8DE6_6B2719F76EF4_.wvu.FilterData" localSheetId="3" hidden="1">#REF!</definedName>
    <definedName name="Z_FE37516D_56E4_424C_8DE6_6B2719F76EF4_.wvu.FilterData" hidden="1">#REF!</definedName>
    <definedName name="Z_FEBB3479_FB57_4CDC_BCCD_5D8B83257FC7_.wvu.FilterData" localSheetId="3" hidden="1">#REF!</definedName>
    <definedName name="Z_FEBB3479_FB57_4CDC_BCCD_5D8B83257FC7_.wvu.FilterData" hidden="1">#REF!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23" l="1"/>
  <c r="D8" i="723"/>
  <c r="D9" i="723"/>
  <c r="D10" i="723"/>
  <c r="D11" i="723"/>
  <c r="D12" i="723"/>
  <c r="D13" i="723"/>
  <c r="D6" i="723"/>
  <c r="L13" i="721"/>
  <c r="L12" i="721"/>
  <c r="L11" i="721"/>
  <c r="L10" i="721"/>
  <c r="L9" i="721"/>
  <c r="L8" i="721"/>
  <c r="L7" i="721"/>
  <c r="L6" i="721"/>
  <c r="D5" i="722" l="1"/>
  <c r="D6" i="722"/>
  <c r="D7" i="722"/>
  <c r="D4" i="722"/>
  <c r="H28" i="719"/>
  <c r="G28" i="719"/>
  <c r="H27" i="719"/>
  <c r="G27" i="719"/>
  <c r="G26" i="719"/>
  <c r="H26" i="719" s="1"/>
  <c r="H25" i="719"/>
  <c r="G25" i="719"/>
  <c r="H24" i="719"/>
  <c r="G24" i="719"/>
  <c r="H23" i="719"/>
  <c r="G23" i="719"/>
  <c r="G22" i="719"/>
  <c r="H22" i="719" s="1"/>
  <c r="H21" i="719" l="1"/>
  <c r="H20" i="719"/>
  <c r="G34" i="719" l="1"/>
  <c r="H34" i="719" s="1"/>
  <c r="G6" i="722" l="1"/>
  <c r="E6" i="722" l="1"/>
  <c r="F14" i="721" s="1"/>
  <c r="F7" i="721" l="1"/>
  <c r="F11" i="721"/>
  <c r="F16" i="721"/>
  <c r="F15" i="721"/>
  <c r="F12" i="721"/>
  <c r="F13" i="721"/>
  <c r="F17" i="721"/>
  <c r="F8" i="721"/>
  <c r="F9" i="721"/>
  <c r="F6" i="721"/>
  <c r="F10" i="721"/>
  <c r="G8" i="719" l="1"/>
  <c r="H8" i="719" s="1"/>
  <c r="G20" i="719"/>
  <c r="G21" i="719"/>
  <c r="G6" i="719"/>
  <c r="H6" i="719" s="1"/>
  <c r="G10" i="719"/>
  <c r="H10" i="719" s="1"/>
  <c r="G15" i="719"/>
  <c r="H15" i="719" s="1"/>
  <c r="G13" i="719"/>
  <c r="H13" i="719" s="1"/>
  <c r="G11" i="719"/>
  <c r="H11" i="719" s="1"/>
  <c r="G9" i="719"/>
  <c r="H9" i="719" s="1"/>
  <c r="G17" i="719"/>
  <c r="H17" i="719" s="1"/>
  <c r="G7" i="719"/>
  <c r="H7" i="719" s="1"/>
  <c r="G12" i="719"/>
  <c r="H12" i="719" s="1"/>
  <c r="G16" i="719"/>
  <c r="H16" i="719" s="1"/>
  <c r="G14" i="719"/>
  <c r="H14" i="719" s="1"/>
  <c r="G31" i="719" l="1"/>
  <c r="H31" i="719" s="1"/>
  <c r="G5" i="719"/>
  <c r="H5" i="719" s="1"/>
  <c r="G4" i="722" l="1"/>
  <c r="G5" i="722"/>
  <c r="E7" i="722"/>
  <c r="E4" i="722" l="1"/>
  <c r="D17" i="721" s="1"/>
  <c r="E5" i="722"/>
  <c r="E17" i="721" s="1"/>
  <c r="G7" i="722"/>
  <c r="G17" i="721"/>
  <c r="G8" i="721"/>
  <c r="G6" i="721"/>
  <c r="G7" i="721"/>
  <c r="G12" i="721"/>
  <c r="G9" i="721"/>
  <c r="G15" i="721"/>
  <c r="G10" i="721"/>
  <c r="G14" i="721"/>
  <c r="G16" i="721"/>
  <c r="G11" i="721"/>
  <c r="G13" i="721"/>
  <c r="D10" i="721" l="1"/>
  <c r="D13" i="721"/>
  <c r="D15" i="721"/>
  <c r="D16" i="721"/>
  <c r="D7" i="721"/>
  <c r="D8" i="721"/>
  <c r="D11" i="721"/>
  <c r="D14" i="721"/>
  <c r="D6" i="721"/>
  <c r="D9" i="721"/>
  <c r="E11" i="721"/>
  <c r="E10" i="721"/>
  <c r="E6" i="721"/>
  <c r="E8" i="721"/>
  <c r="D12" i="721"/>
  <c r="E12" i="721"/>
  <c r="E13" i="721"/>
  <c r="E9" i="721"/>
  <c r="E14" i="721"/>
  <c r="E7" i="721"/>
  <c r="E15" i="721"/>
  <c r="E16" i="721"/>
  <c r="H17" i="721"/>
  <c r="H6" i="721" l="1"/>
  <c r="H10" i="721"/>
  <c r="H13" i="721"/>
  <c r="H15" i="721"/>
  <c r="H11" i="721"/>
  <c r="H7" i="721"/>
  <c r="H16" i="721"/>
  <c r="H14" i="721"/>
  <c r="H9" i="721"/>
  <c r="H8" i="721"/>
  <c r="H12" i="721"/>
</calcChain>
</file>

<file path=xl/sharedStrings.xml><?xml version="1.0" encoding="utf-8"?>
<sst xmlns="http://schemas.openxmlformats.org/spreadsheetml/2006/main" count="92" uniqueCount="61">
  <si>
    <t>CÓDIGO</t>
  </si>
  <si>
    <t>TOTAL</t>
  </si>
  <si>
    <t>km</t>
  </si>
  <si>
    <t>UN</t>
  </si>
  <si>
    <t>DESCRIÇÃO</t>
  </si>
  <si>
    <t>R-1</t>
  </si>
  <si>
    <t>QUANTIDADE</t>
  </si>
  <si>
    <t>PISTA DE ROLAMENTO</t>
  </si>
  <si>
    <t>SINALIZAÇÃO E SEGURANÇA VIÁRIA</t>
  </si>
  <si>
    <t>PROD. HORÁRIA (UND/H)</t>
  </si>
  <si>
    <t>TEMPO DE EXECUÇÃO (H)</t>
  </si>
  <si>
    <t>TEMPO DE BANDEIROLA (H)</t>
  </si>
  <si>
    <t>PROJETO TIPO</t>
  </si>
  <si>
    <t>QUANTIDADE DE OPERADORES DE BANDEIROLA/PARE E SIGA</t>
  </si>
  <si>
    <t>HORAS DE SERVIÇO</t>
  </si>
  <si>
    <t>HORA DE OPERAÇÃO</t>
  </si>
  <si>
    <t>Fixo no acostamento</t>
  </si>
  <si>
    <t xml:space="preserve">Fixo na pista com operação Pare e Siga </t>
  </si>
  <si>
    <t>Móvel no acostamento</t>
  </si>
  <si>
    <t>Móvel na pista com operação Pare e Siga</t>
  </si>
  <si>
    <t>CÓDIGO DISPOSITIVO</t>
  </si>
  <si>
    <t>QUANTITATIDE UN.DIA</t>
  </si>
  <si>
    <t>R-7</t>
  </si>
  <si>
    <t>R-19</t>
  </si>
  <si>
    <t>A-24</t>
  </si>
  <si>
    <t>A15 + DIST</t>
  </si>
  <si>
    <t>A24 + DIST</t>
  </si>
  <si>
    <t>DESVIO</t>
  </si>
  <si>
    <t>FIM DAS OBRAS</t>
  </si>
  <si>
    <t>SEM ACOST</t>
  </si>
  <si>
    <t>CAVAL. ART.</t>
  </si>
  <si>
    <t>Parada Obrigatória (Pare e Siga)</t>
  </si>
  <si>
    <t>DIAS DE SERVIÇO</t>
  </si>
  <si>
    <t>Proibido Ultrapassar</t>
  </si>
  <si>
    <t xml:space="preserve">Velocidade Máxima permitida </t>
  </si>
  <si>
    <t>Obras ou serviço</t>
  </si>
  <si>
    <t>Parada Obrigatória a frente com indicação de distância</t>
  </si>
  <si>
    <t>Obras ou serviço com indicação de distância</t>
  </si>
  <si>
    <t>Desvio (1,25 x 0,40 m)</t>
  </si>
  <si>
    <t xml:space="preserve">Fim das obras (1,25 x 0,80 m) </t>
  </si>
  <si>
    <t xml:space="preserve">Trecho sem acostamento (1,75 x 1,00 m) </t>
  </si>
  <si>
    <t>Cavalete Articulado</t>
  </si>
  <si>
    <t>CONE</t>
  </si>
  <si>
    <t>TAMBOR</t>
  </si>
  <si>
    <t>Cone plástico para canalização de trânsito</t>
  </si>
  <si>
    <t>Cilindro canalizador de tráfego com base quadrada</t>
  </si>
  <si>
    <t>MANUTENÇÃO E CONSERVAÇÃO ROTINEIRA</t>
  </si>
  <si>
    <t>MER</t>
  </si>
  <si>
    <t>ACOSTAMENTO</t>
  </si>
  <si>
    <t>SINALIZAÇÃO DE OBRAS - DURAÇÃO DOS SERVIÇOS</t>
  </si>
  <si>
    <t>SINALIZAÇÃO DE OBRAS - CÁLCULO DO TEMPO DE EXECUÇÃO E OPERAÇÃO</t>
  </si>
  <si>
    <t>SINALIZAÇÃO DE OBRAS - CÁLCULO DA QUANTIDADE DE UN.DIA</t>
  </si>
  <si>
    <t>SINALIZAÇÃO DE OBRAS - SERVIÇOS</t>
  </si>
  <si>
    <t>PLACA DE REGULAMENTAÇÃO PARA SINALIZAÇÃO DE OBRAS MONTADA EM SUPORTE METÁLICO MÓVEL, R1 LADO 0,414 M - UTILIZAÇÃO DE 600 CICLOS - FORNECIMENTO, 01 IMPLANTAÇÃO E 01 RETIRADA DIÁRIA</t>
  </si>
  <si>
    <t>PLACA DE REGULAMENTAÇÃO PARA SINALIZAÇÃO DE OBRAS MONTADA EM SUPORTE METÁLICO MÓVEL - D = 1,00 M - UTILIZAÇÃO DE 600 CICLOS - FORNECIMENTO, 01 IMPLANTAÇÃO E 01 RETIRADA DIÁRIA</t>
  </si>
  <si>
    <t>PLACA DE ADVERTÊNCIA PARA SINALIZAÇÃO DE OBRAS MONTADA EM SUPORTE METÁLICO MÓVEL, LADO 1,00 M - UTILIZAÇÃO DE 600 CICLOS - FORNECIMENTO, 01 IMPLANTAÇÃO E 01 RETIRADA DIÁRIA</t>
  </si>
  <si>
    <t>PLACA PARA SINALIZAÇÃO DE OBRAS MONTADA EM CAVALETE METÁLICO - 1,00 X 1,00 M - UTILIZAÇÃO DE 600 CICLOS - FORNECIMENTO, 01 IMPLANTAÇÃO E 01 RETIRADA DIÁRIA</t>
  </si>
  <si>
    <t>CONE PLÁSTICO PARA CANALIZAÇÃO DE TRÂNSITO - UTILIZAÇÃO DE 150 CICLOS - FORNECIMENTO, 01 IMPLANTAÇÃO E 01 RETIRADA DIÁRIA</t>
  </si>
  <si>
    <t>CILINDRO CANALIZADOR DE TRÁFEGO COM BASE QUADRADA DE 111 X 56 X 56 CM - UTILIZAÇÃO DE 600 CICLOS - FORNECIMENTO, 01 IMPLANTAÇÃO E 01 RETIRADA DIÁRIA</t>
  </si>
  <si>
    <t>CAVALETE EM POLIETILENO ZEBRADO COM FAIXA REFLETIVA - H = 1,00 M - UTILIZAÇÃO DE 600 CICLOS - FORNECIMENTO, 01 IMPLANTAÇÃO E 01 RETIRADA DIÁRIA</t>
  </si>
  <si>
    <t>OPERAÇÃO DE SINALIZAÇÃO POR BANDEIROLA DE TECIDO OU COM PLACA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</si>
</sst>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3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0.00000000"/>
    <numFmt numFmtId="177" formatCode="_(* #,##0.00_);_(* \(#,##0.00\);_(* \-??_);_(@_)"/>
    <numFmt numFmtId="178" formatCode="[$€]#,##0.00_);[Red]\([$€]#,##0.00\)"/>
    <numFmt numFmtId="179" formatCode="#,##0.0000\ ;&quot; (&quot;#,##0.0000\);&quot; -&quot;#.00\ ;@\ "/>
    <numFmt numFmtId="180" formatCode="&quot;Cr$&quot;#,##0.00_);\(&quot;Cr$&quot;#,##0.00\)"/>
    <numFmt numFmtId="181" formatCode="_(&quot;Cr$&quot;* #,##0_);_(&quot;Cr$&quot;* \(#,##0\);_(&quot;Cr$&quot;* &quot;-&quot;_);_(@_)"/>
    <numFmt numFmtId="182" formatCode="&quot;R$&quot;\ #,##0.00_);[Red]\(&quot;R$&quot;\ #,##0.00\)"/>
    <numFmt numFmtId="183" formatCode="\$#,##0\ ;\(\$#,##0\)"/>
    <numFmt numFmtId="184" formatCode="_(&quot;Cr$&quot;* #,##0.00_);_(&quot;Cr$&quot;* \(#,##0.00\);_(&quot;Cr$&quot;* &quot;-&quot;??_);_(@_)"/>
    <numFmt numFmtId="185" formatCode="%#,#00"/>
    <numFmt numFmtId="186" formatCode="#.##000"/>
    <numFmt numFmtId="187" formatCode="#."/>
    <numFmt numFmtId="188" formatCode=";;;"/>
    <numFmt numFmtId="189" formatCode="#.##0,"/>
    <numFmt numFmtId="190" formatCode="_(&quot;R$&quot;* #,##0.00_);_(&quot;R$&quot;* \(#,##0.00\);_(&quot;R$&quot;* \-??_);_(@_)"/>
    <numFmt numFmtId="191" formatCode="#,##0.0"/>
    <numFmt numFmtId="192" formatCode="&quot;Cr$&quot;#,##0.00_);&quot;(Cr$&quot;#,##0.00\)"/>
    <numFmt numFmtId="193" formatCode="\$#,##0.00_);&quot;($&quot;#,##0.00\)"/>
    <numFmt numFmtId="194" formatCode="\$#,##0_);&quot;($&quot;#,##0\)"/>
    <numFmt numFmtId="195" formatCode="mmmm\ d&quot;, &quot;yyyy"/>
    <numFmt numFmtId="196" formatCode="_([$€-2]* #,##0.00_);_([$€-2]* \(#,##0.00\);_([$€-2]* \-??_)"/>
    <numFmt numFmtId="197" formatCode="\$#,##0\ ;&quot;($&quot;#,##0\)"/>
    <numFmt numFmtId="198" formatCode="_(&quot;Cr$&quot;* #,##0.00_);_(&quot;Cr$&quot;* \(#,##0.00\);_(&quot;Cr$&quot;* \-??_);_(@_)"/>
    <numFmt numFmtId="199" formatCode="#,##0.000;[Red]#,##0.000"/>
    <numFmt numFmtId="200" formatCode="&quot;R$&quot;\ #,##0_);[Red]\(&quot;R$&quot;\ #,##0\)"/>
    <numFmt numFmtId="201" formatCode="&quot;R$&quot;\ #,##0.00_);\(&quot;R$&quot;\ #,##0.00\)"/>
    <numFmt numFmtId="202" formatCode="d/m/yy"/>
    <numFmt numFmtId="203" formatCode="_(&quot;$&quot;* #,##0.00_);_(&quot;$&quot;* \(#,##0.00\);_(&quot;$&quot;* &quot;-&quot;??_);_(@_)"/>
  </numFmts>
  <fonts count="1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i/>
      <sz val="12"/>
      <name val="Arial"/>
      <family val="2"/>
    </font>
    <font>
      <sz val="10"/>
      <color rgb="FF0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0" tint="-0.3499862666707357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411">
    <xf numFmtId="0" fontId="0" fillId="0" borderId="0"/>
    <xf numFmtId="169" fontId="64" fillId="0" borderId="0"/>
    <xf numFmtId="180" fontId="70" fillId="0" borderId="0">
      <protection locked="0"/>
    </xf>
    <xf numFmtId="180" fontId="70" fillId="0" borderId="0">
      <protection locked="0"/>
    </xf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3" fontId="73" fillId="0" borderId="0" applyFont="0" applyFill="0" applyBorder="0" applyAlignment="0" applyProtection="0"/>
    <xf numFmtId="181" fontId="61" fillId="0" borderId="0" applyFont="0" applyFill="0" applyBorder="0" applyAlignment="0" applyProtection="0"/>
    <xf numFmtId="182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65" fillId="0" borderId="0"/>
    <xf numFmtId="178" fontId="66" fillId="0" borderId="0" applyFont="0" applyFill="0" applyBorder="0" applyAlignment="0" applyProtection="0"/>
    <xf numFmtId="2" fontId="75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66" fillId="0" borderId="0"/>
    <xf numFmtId="173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90" fontId="61" fillId="0" borderId="0" applyFill="0" applyBorder="0" applyAlignment="0" applyProtection="0"/>
    <xf numFmtId="42" fontId="61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68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8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183" fontId="75" fillId="0" borderId="0" applyFont="0" applyFill="0" applyBorder="0" applyAlignment="0" applyProtection="0"/>
    <xf numFmtId="184" fontId="61" fillId="0" borderId="0" applyFont="0" applyFill="0" applyBorder="0" applyAlignment="0" applyProtection="0"/>
    <xf numFmtId="49" fontId="61" fillId="0" borderId="0" applyProtection="0"/>
    <xf numFmtId="49" fontId="61" fillId="0" borderId="0" applyProtection="0"/>
    <xf numFmtId="49" fontId="61" fillId="0" borderId="0" applyProtection="0"/>
    <xf numFmtId="0" fontId="76" fillId="0" borderId="0"/>
    <xf numFmtId="49" fontId="61" fillId="0" borderId="0" applyProtection="0"/>
    <xf numFmtId="0" fontId="69" fillId="0" borderId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83" fillId="0" borderId="0"/>
    <xf numFmtId="0" fontId="76" fillId="0" borderId="0"/>
    <xf numFmtId="0" fontId="7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0" fontId="76" fillId="0" borderId="0"/>
    <xf numFmtId="49" fontId="61" fillId="0" borderId="0" applyProtection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49" fontId="61" fillId="0" borderId="0" applyProtection="0"/>
    <xf numFmtId="49" fontId="61" fillId="0" borderId="0" applyProtection="0"/>
    <xf numFmtId="185" fontId="77" fillId="0" borderId="0">
      <protection locked="0"/>
    </xf>
    <xf numFmtId="186" fontId="77" fillId="0" borderId="0">
      <protection locked="0"/>
    </xf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1" fillId="0" borderId="0" applyFont="0" applyFill="0" applyBorder="0" applyAlignment="0" applyProtection="0"/>
    <xf numFmtId="187" fontId="78" fillId="0" borderId="0">
      <protection locked="0"/>
    </xf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9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76" fillId="0" borderId="0" applyFont="0" applyFill="0" applyBorder="0" applyAlignment="0" applyProtection="0"/>
    <xf numFmtId="42" fontId="61" fillId="0" borderId="0" applyFill="0" applyBorder="0" applyAlignment="0" applyProtection="0"/>
    <xf numFmtId="42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79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0" fontId="61" fillId="0" borderId="0" applyFill="0" applyBorder="0" applyAlignment="0" applyProtection="0"/>
    <xf numFmtId="169" fontId="68" fillId="0" borderId="0" applyFont="0" applyFill="0" applyBorder="0" applyAlignment="0" applyProtection="0"/>
    <xf numFmtId="176" fontId="61" fillId="0" borderId="0" applyFill="0" applyBorder="0" applyAlignment="0" applyProtection="0"/>
    <xf numFmtId="171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40" fontId="74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79" fillId="0" borderId="0" applyNumberFormat="0" applyFill="0" applyBorder="0" applyAlignment="0" applyProtection="0"/>
    <xf numFmtId="188" fontId="70" fillId="0" borderId="0">
      <protection locked="0"/>
    </xf>
    <xf numFmtId="188" fontId="70" fillId="0" borderId="0">
      <protection locked="0"/>
    </xf>
    <xf numFmtId="186" fontId="77" fillId="0" borderId="0">
      <protection locked="0"/>
    </xf>
    <xf numFmtId="189" fontId="77" fillId="0" borderId="0">
      <protection locked="0"/>
    </xf>
    <xf numFmtId="169" fontId="60" fillId="0" borderId="0" applyFont="0" applyFill="0" applyBorder="0" applyAlignment="0" applyProtection="0"/>
    <xf numFmtId="169" fontId="80" fillId="0" borderId="0" applyFont="0" applyFill="0" applyBorder="0" applyAlignment="0" applyProtection="0"/>
    <xf numFmtId="169" fontId="61" fillId="0" borderId="0" applyFont="0" applyFill="0" applyBorder="0" applyAlignment="0" applyProtection="0"/>
    <xf numFmtId="3" fontId="75" fillId="0" borderId="0" applyFont="0" applyFill="0" applyBorder="0" applyAlignment="0" applyProtection="0"/>
    <xf numFmtId="0" fontId="60" fillId="0" borderId="0"/>
    <xf numFmtId="43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6" fontId="60" fillId="0" borderId="0" applyFill="0" applyBorder="0" applyAlignment="0" applyProtection="0"/>
    <xf numFmtId="173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0" fontId="60" fillId="0" borderId="0"/>
    <xf numFmtId="0" fontId="60" fillId="0" borderId="0"/>
    <xf numFmtId="0" fontId="84" fillId="0" borderId="0"/>
    <xf numFmtId="0" fontId="58" fillId="0" borderId="0"/>
    <xf numFmtId="0" fontId="57" fillId="0" borderId="0"/>
    <xf numFmtId="0" fontId="60" fillId="0" borderId="0"/>
    <xf numFmtId="0" fontId="56" fillId="0" borderId="0"/>
    <xf numFmtId="0" fontId="55" fillId="0" borderId="0"/>
    <xf numFmtId="0" fontId="60" fillId="0" borderId="0"/>
    <xf numFmtId="0" fontId="55" fillId="0" borderId="0"/>
    <xf numFmtId="43" fontId="55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9" fontId="60" fillId="0" borderId="0" applyFill="0" applyBorder="0" applyAlignment="0" applyProtection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0" fontId="52" fillId="0" borderId="0"/>
    <xf numFmtId="43" fontId="52" fillId="0" borderId="0" applyFont="0" applyFill="0" applyBorder="0" applyAlignment="0" applyProtection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0" fontId="51" fillId="0" borderId="0"/>
    <xf numFmtId="0" fontId="60" fillId="0" borderId="0"/>
    <xf numFmtId="0" fontId="50" fillId="0" borderId="0"/>
    <xf numFmtId="16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76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4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6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8" borderId="0" applyNumberFormat="0" applyBorder="0" applyAlignment="0" applyProtection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2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5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0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17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8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5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20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7" borderId="0" applyNumberFormat="0" applyBorder="0" applyAlignment="0" applyProtection="0"/>
    <xf numFmtId="0" fontId="87" fillId="7" borderId="0" applyNumberFormat="0" applyBorder="0" applyAlignment="0" applyProtection="0"/>
    <xf numFmtId="0" fontId="87" fillId="21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192" fontId="89" fillId="0" borderId="0">
      <protection locked="0"/>
    </xf>
    <xf numFmtId="192" fontId="89" fillId="0" borderId="0">
      <protection locked="0"/>
    </xf>
    <xf numFmtId="0" fontId="90" fillId="22" borderId="3" applyNumberFormat="0" applyAlignment="0" applyProtection="0"/>
    <xf numFmtId="0" fontId="90" fillId="22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1" fillId="13" borderId="4" applyNumberFormat="0" applyAlignment="0" applyProtection="0"/>
    <xf numFmtId="0" fontId="91" fillId="13" borderId="4" applyNumberFormat="0" applyAlignment="0" applyProtection="0"/>
    <xf numFmtId="0" fontId="91" fillId="5" borderId="4" applyNumberFormat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39" fontId="60" fillId="0" borderId="0" applyFill="0" applyBorder="0" applyAlignment="0" applyProtection="0"/>
    <xf numFmtId="3" fontId="76" fillId="0" borderId="0" applyFill="0" applyBorder="0" applyAlignment="0" applyProtection="0"/>
    <xf numFmtId="3" fontId="73" fillId="0" borderId="0" applyFont="0" applyFill="0" applyBorder="0" applyAlignment="0" applyProtection="0"/>
    <xf numFmtId="193" fontId="60" fillId="0" borderId="0" applyFill="0" applyBorder="0" applyAlignment="0" applyProtection="0"/>
    <xf numFmtId="194" fontId="60" fillId="0" borderId="0" applyFill="0" applyBorder="0" applyAlignment="0" applyProtection="0"/>
    <xf numFmtId="0" fontId="76" fillId="0" borderId="0" applyFill="0" applyBorder="0" applyAlignment="0" applyProtection="0"/>
    <xf numFmtId="0" fontId="75" fillId="0" borderId="0" applyFont="0" applyFill="0" applyBorder="0" applyAlignment="0" applyProtection="0"/>
    <xf numFmtId="195" fontId="60" fillId="0" borderId="0" applyFill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23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6" borderId="0" applyNumberFormat="0" applyBorder="0" applyAlignment="0" applyProtection="0"/>
    <xf numFmtId="0" fontId="87" fillId="26" borderId="0" applyNumberFormat="0" applyBorder="0" applyAlignment="0" applyProtection="0"/>
    <xf numFmtId="0" fontId="87" fillId="20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196" fontId="60" fillId="0" borderId="0" applyFill="0" applyBorder="0" applyAlignment="0" applyProtection="0"/>
    <xf numFmtId="2" fontId="60" fillId="0" borderId="0" applyFill="0" applyBorder="0" applyAlignment="0" applyProtection="0"/>
    <xf numFmtId="2" fontId="76" fillId="0" borderId="0" applyFill="0" applyBorder="0" applyAlignment="0" applyProtection="0"/>
    <xf numFmtId="2" fontId="75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6" fillId="0" borderId="0"/>
    <xf numFmtId="0" fontId="66" fillId="0" borderId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97" fontId="76" fillId="0" borderId="0" applyFill="0" applyBorder="0" applyAlignment="0" applyProtection="0"/>
    <xf numFmtId="183" fontId="75" fillId="0" borderId="0" applyFont="0" applyFill="0" applyBorder="0" applyAlignment="0" applyProtection="0"/>
    <xf numFmtId="198" fontId="76" fillId="0" borderId="0" applyFill="0" applyBorder="0" applyAlignment="0" applyProtection="0"/>
    <xf numFmtId="184" fontId="60" fillId="0" borderId="0" applyFont="0" applyFill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76" fillId="0" borderId="0"/>
    <xf numFmtId="0" fontId="76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69" fillId="0" borderId="0"/>
    <xf numFmtId="0" fontId="60" fillId="0" borderId="0"/>
    <xf numFmtId="0" fontId="48" fillId="0" borderId="0"/>
    <xf numFmtId="0" fontId="48" fillId="0" borderId="0"/>
    <xf numFmtId="0" fontId="98" fillId="0" borderId="0"/>
    <xf numFmtId="0" fontId="76" fillId="0" borderId="0"/>
    <xf numFmtId="0" fontId="98" fillId="0" borderId="0"/>
    <xf numFmtId="0" fontId="60" fillId="0" borderId="0"/>
    <xf numFmtId="0" fontId="60" fillId="0" borderId="0"/>
    <xf numFmtId="0" fontId="69" fillId="0" borderId="0"/>
    <xf numFmtId="0" fontId="60" fillId="0" borderId="0"/>
    <xf numFmtId="0" fontId="60" fillId="0" borderId="0"/>
    <xf numFmtId="0" fontId="60" fillId="0" borderId="0"/>
    <xf numFmtId="0" fontId="76" fillId="9" borderId="6" applyNumberFormat="0" applyFont="0" applyAlignment="0" applyProtection="0"/>
    <xf numFmtId="0" fontId="76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10" fontId="60" fillId="0" borderId="0" applyFill="0" applyBorder="0" applyAlignment="0" applyProtection="0"/>
    <xf numFmtId="187" fontId="99" fillId="0" borderId="0">
      <protection locked="0"/>
    </xf>
    <xf numFmtId="187" fontId="99" fillId="0" borderId="0">
      <protection locked="0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95" fillId="6" borderId="0" applyNumberFormat="0" applyBorder="0" applyAlignment="0" applyProtection="0"/>
    <xf numFmtId="0" fontId="100" fillId="22" borderId="7" applyNumberFormat="0" applyAlignment="0" applyProtection="0"/>
    <xf numFmtId="0" fontId="100" fillId="22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187" fontId="101" fillId="0" borderId="0">
      <protection locked="0"/>
    </xf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77" fontId="76" fillId="0" borderId="0" applyFill="0" applyBorder="0" applyAlignment="0" applyProtection="0"/>
    <xf numFmtId="198" fontId="76" fillId="0" borderId="0" applyFill="0" applyBorder="0" applyAlignment="0" applyProtection="0"/>
    <xf numFmtId="177" fontId="76" fillId="0" borderId="0" applyFill="0" applyBorder="0" applyAlignment="0" applyProtection="0"/>
    <xf numFmtId="43" fontId="60" fillId="0" borderId="0" applyFont="0" applyFill="0" applyBorder="0" applyAlignment="0" applyProtection="0"/>
    <xf numFmtId="177" fontId="76" fillId="0" borderId="0" applyFill="0" applyBorder="0" applyAlignment="0" applyProtection="0"/>
    <xf numFmtId="177" fontId="76" fillId="0" borderId="0" applyFill="0" applyBorder="0" applyAlignment="0" applyProtection="0"/>
    <xf numFmtId="197" fontId="76" fillId="0" borderId="0" applyFill="0" applyBorder="0" applyAlignment="0" applyProtection="0"/>
    <xf numFmtId="197" fontId="76" fillId="0" borderId="0" applyFill="0" applyBorder="0" applyAlignment="0" applyProtection="0"/>
    <xf numFmtId="191" fontId="76" fillId="0" borderId="0" applyFill="0" applyBorder="0" applyAlignment="0" applyProtection="0"/>
    <xf numFmtId="43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97" fontId="76" fillId="0" borderId="0" applyFill="0" applyBorder="0" applyAlignment="0" applyProtection="0"/>
    <xf numFmtId="0" fontId="60" fillId="0" borderId="0" applyFont="0" applyFill="0" applyBorder="0" applyAlignment="0" applyProtection="0"/>
    <xf numFmtId="177" fontId="76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91" fontId="76" fillId="0" borderId="0" applyFill="0" applyBorder="0" applyAlignment="0" applyProtection="0"/>
    <xf numFmtId="177" fontId="76" fillId="0" borderId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8" applyNumberFormat="0" applyFill="0" applyAlignment="0" applyProtection="0"/>
    <xf numFmtId="0" fontId="104" fillId="0" borderId="8" applyNumberFormat="0" applyFill="0" applyAlignment="0" applyProtection="0"/>
    <xf numFmtId="0" fontId="104" fillId="0" borderId="8" applyNumberFormat="0" applyFill="0" applyAlignment="0" applyProtection="0"/>
    <xf numFmtId="0" fontId="67" fillId="0" borderId="1" applyNumberFormat="0" applyFill="0" applyAlignment="0" applyProtection="0"/>
    <xf numFmtId="0" fontId="105" fillId="0" borderId="9" applyNumberFormat="0" applyFill="0" applyAlignment="0" applyProtection="0"/>
    <xf numFmtId="0" fontId="105" fillId="0" borderId="9" applyNumberFormat="0" applyFill="0" applyAlignment="0" applyProtection="0"/>
    <xf numFmtId="0" fontId="110" fillId="0" borderId="9" applyNumberFormat="0" applyFill="0" applyAlignment="0" applyProtection="0"/>
    <xf numFmtId="0" fontId="106" fillId="0" borderId="11" applyNumberFormat="0" applyFill="0" applyAlignment="0" applyProtection="0"/>
    <xf numFmtId="0" fontId="106" fillId="0" borderId="11" applyNumberFormat="0" applyFill="0" applyAlignment="0" applyProtection="0"/>
    <xf numFmtId="0" fontId="111" fillId="0" borderId="10" applyNumberFormat="0" applyFill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87" fontId="108" fillId="0" borderId="0">
      <protection locked="0"/>
    </xf>
    <xf numFmtId="187" fontId="108" fillId="0" borderId="0">
      <protection locked="0"/>
    </xf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186" fontId="109" fillId="0" borderId="0">
      <protection locked="0"/>
    </xf>
    <xf numFmtId="189" fontId="109" fillId="0" borderId="0">
      <protection locked="0"/>
    </xf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76" fillId="0" borderId="0" applyFill="0" applyBorder="0" applyAlignment="0" applyProtection="0"/>
    <xf numFmtId="3" fontId="75" fillId="0" borderId="0" applyFont="0" applyFill="0" applyBorder="0" applyAlignment="0" applyProtection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91" fillId="5" borderId="13" applyNumberFormat="0" applyAlignment="0" applyProtection="0"/>
    <xf numFmtId="0" fontId="76" fillId="0" borderId="0"/>
    <xf numFmtId="0" fontId="76" fillId="0" borderId="0"/>
    <xf numFmtId="0" fontId="76" fillId="0" borderId="0"/>
    <xf numFmtId="0" fontId="76" fillId="0" borderId="0"/>
    <xf numFmtId="0" fontId="47" fillId="0" borderId="0"/>
    <xf numFmtId="0" fontId="47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6" fillId="0" borderId="16" applyNumberFormat="0" applyFill="0" applyAlignment="0" applyProtection="0"/>
    <xf numFmtId="0" fontId="106" fillId="0" borderId="16" applyNumberFormat="0" applyFill="0" applyAlignment="0" applyProtection="0"/>
    <xf numFmtId="0" fontId="111" fillId="0" borderId="15" applyNumberFormat="0" applyFill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99" fontId="60" fillId="0" borderId="0" applyFon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0" fontId="69" fillId="0" borderId="0"/>
    <xf numFmtId="0" fontId="41" fillId="0" borderId="0"/>
    <xf numFmtId="0" fontId="69" fillId="12" borderId="0" applyNumberFormat="0" applyBorder="0" applyAlignment="0" applyProtection="0"/>
    <xf numFmtId="0" fontId="69" fillId="14" borderId="0" applyNumberFormat="0" applyBorder="0" applyAlignment="0" applyProtection="0"/>
    <xf numFmtId="0" fontId="69" fillId="9" borderId="0" applyNumberFormat="0" applyBorder="0" applyAlignment="0" applyProtection="0"/>
    <xf numFmtId="0" fontId="69" fillId="7" borderId="0" applyNumberFormat="0" applyBorder="0" applyAlignment="0" applyProtection="0"/>
    <xf numFmtId="0" fontId="69" fillId="11" borderId="0" applyNumberFormat="0" applyBorder="0" applyAlignment="0" applyProtection="0"/>
    <xf numFmtId="0" fontId="69" fillId="9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6" borderId="0" applyNumberFormat="0" applyBorder="0" applyAlignment="0" applyProtection="0"/>
    <xf numFmtId="0" fontId="69" fillId="6" borderId="0" applyNumberFormat="0" applyBorder="0" applyAlignment="0" applyProtection="0"/>
    <xf numFmtId="0" fontId="69" fillId="11" borderId="0" applyNumberFormat="0" applyBorder="0" applyAlignment="0" applyProtection="0"/>
    <xf numFmtId="0" fontId="69" fillId="9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87" fillId="11" borderId="0" applyNumberFormat="0" applyBorder="0" applyAlignment="0" applyProtection="0"/>
    <xf numFmtId="0" fontId="87" fillId="27" borderId="0" applyNumberFormat="0" applyBorder="0" applyAlignment="0" applyProtection="0"/>
    <xf numFmtId="0" fontId="87" fillId="17" borderId="0" applyNumberFormat="0" applyBorder="0" applyAlignment="0" applyProtection="0"/>
    <xf numFmtId="0" fontId="87" fillId="6" borderId="0" applyNumberFormat="0" applyBorder="0" applyAlignment="0" applyProtection="0"/>
    <xf numFmtId="0" fontId="87" fillId="11" borderId="0" applyNumberFormat="0" applyBorder="0" applyAlignment="0" applyProtection="0"/>
    <xf numFmtId="0" fontId="87" fillId="14" borderId="0" applyNumberFormat="0" applyBorder="0" applyAlignment="0" applyProtection="0"/>
    <xf numFmtId="0" fontId="126" fillId="38" borderId="0" applyNumberFormat="0" applyBorder="0" applyAlignment="0" applyProtection="0"/>
    <xf numFmtId="0" fontId="126" fillId="3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87" fillId="18" borderId="0" applyNumberFormat="0" applyBorder="0" applyAlignment="0" applyProtection="0"/>
    <xf numFmtId="0" fontId="126" fillId="38" borderId="0" applyNumberFormat="0" applyBorder="0" applyAlignment="0" applyProtection="0"/>
    <xf numFmtId="0" fontId="126" fillId="38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2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87" fillId="14" borderId="0" applyNumberFormat="0" applyBorder="0" applyAlignment="0" applyProtection="0"/>
    <xf numFmtId="0" fontId="126" fillId="42" borderId="0" applyNumberFormat="0" applyBorder="0" applyAlignment="0" applyProtection="0"/>
    <xf numFmtId="0" fontId="126" fillId="42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87" fillId="15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127" fillId="0" borderId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126" fillId="50" borderId="0" applyNumberFormat="0" applyBorder="0" applyAlignment="0" applyProtection="0"/>
    <xf numFmtId="0" fontId="126" fillId="50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4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126" fillId="54" borderId="0" applyNumberFormat="0" applyBorder="0" applyAlignment="0" applyProtection="0"/>
    <xf numFmtId="0" fontId="126" fillId="54" borderId="0" applyNumberFormat="0" applyBorder="0" applyAlignment="0" applyProtection="0"/>
    <xf numFmtId="0" fontId="126" fillId="54" borderId="0" applyNumberFormat="0" applyBorder="0" applyAlignment="0" applyProtection="0"/>
    <xf numFmtId="0" fontId="126" fillId="58" borderId="0" applyNumberFormat="0" applyBorder="0" applyAlignment="0" applyProtection="0"/>
    <xf numFmtId="0" fontId="126" fillId="58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126" fillId="58" borderId="0" applyNumberFormat="0" applyBorder="0" applyAlignment="0" applyProtection="0"/>
    <xf numFmtId="0" fontId="126" fillId="58" borderId="0" applyNumberFormat="0" applyBorder="0" applyAlignment="0" applyProtection="0"/>
    <xf numFmtId="0" fontId="126" fillId="58" borderId="0" applyNumberFormat="0" applyBorder="0" applyAlignment="0" applyProtection="0"/>
    <xf numFmtId="0" fontId="87" fillId="59" borderId="0" applyNumberFormat="0" applyBorder="0" applyAlignment="0" applyProtection="0"/>
    <xf numFmtId="0" fontId="87" fillId="27" borderId="0" applyNumberFormat="0" applyBorder="0" applyAlignment="0" applyProtection="0"/>
    <xf numFmtId="0" fontId="87" fillId="17" borderId="0" applyNumberFormat="0" applyBorder="0" applyAlignment="0" applyProtection="0"/>
    <xf numFmtId="0" fontId="87" fillId="26" borderId="0" applyNumberFormat="0" applyBorder="0" applyAlignment="0" applyProtection="0"/>
    <xf numFmtId="0" fontId="87" fillId="19" borderId="0" applyNumberFormat="0" applyBorder="0" applyAlignment="0" applyProtection="0"/>
    <xf numFmtId="0" fontId="87" fillId="24" borderId="0" applyNumberFormat="0" applyBorder="0" applyAlignment="0" applyProtection="0"/>
    <xf numFmtId="0" fontId="95" fillId="10" borderId="0" applyNumberFormat="0" applyBorder="0" applyAlignment="0" applyProtection="0"/>
    <xf numFmtId="0" fontId="118" fillId="28" borderId="0" applyNumberFormat="0" applyBorder="0" applyAlignment="0" applyProtection="0"/>
    <xf numFmtId="0" fontId="118" fillId="2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118" fillId="28" borderId="0" applyNumberFormat="0" applyBorder="0" applyAlignment="0" applyProtection="0"/>
    <xf numFmtId="0" fontId="118" fillId="28" borderId="0" applyNumberFormat="0" applyBorder="0" applyAlignment="0" applyProtection="0"/>
    <xf numFmtId="0" fontId="118" fillId="28" borderId="0" applyNumberFormat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28" fillId="22" borderId="3" applyNumberFormat="0" applyAlignment="0" applyProtection="0"/>
    <xf numFmtId="0" fontId="123" fillId="32" borderId="20" applyNumberFormat="0" applyAlignment="0" applyProtection="0"/>
    <xf numFmtId="0" fontId="123" fillId="32" borderId="20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90" fillId="13" borderId="3" applyNumberFormat="0" applyAlignment="0" applyProtection="0"/>
    <xf numFmtId="0" fontId="129" fillId="0" borderId="0"/>
    <xf numFmtId="0" fontId="123" fillId="32" borderId="20" applyNumberFormat="0" applyAlignment="0" applyProtection="0"/>
    <xf numFmtId="0" fontId="123" fillId="32" borderId="20" applyNumberFormat="0" applyAlignment="0" applyProtection="0"/>
    <xf numFmtId="0" fontId="123" fillId="32" borderId="20" applyNumberFormat="0" applyAlignment="0" applyProtection="0"/>
    <xf numFmtId="0" fontId="86" fillId="33" borderId="23" applyNumberFormat="0" applyAlignment="0" applyProtection="0"/>
    <xf numFmtId="0" fontId="86" fillId="33" borderId="2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130" fillId="0" borderId="0"/>
    <xf numFmtId="0" fontId="91" fillId="5" borderId="13" applyNumberFormat="0" applyAlignment="0" applyProtection="0"/>
    <xf numFmtId="0" fontId="91" fillId="5" borderId="13" applyNumberFormat="0" applyAlignment="0" applyProtection="0"/>
    <xf numFmtId="0" fontId="86" fillId="33" borderId="23" applyNumberFormat="0" applyAlignment="0" applyProtection="0"/>
    <xf numFmtId="0" fontId="86" fillId="33" borderId="23" applyNumberFormat="0" applyAlignment="0" applyProtection="0"/>
    <xf numFmtId="0" fontId="86" fillId="33" borderId="23" applyNumberFormat="0" applyAlignment="0" applyProtection="0"/>
    <xf numFmtId="0" fontId="124" fillId="0" borderId="22" applyNumberFormat="0" applyFill="0" applyAlignment="0" applyProtection="0"/>
    <xf numFmtId="0" fontId="124" fillId="0" borderId="22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92" fillId="0" borderId="5" applyNumberFormat="0" applyFill="0" applyAlignment="0" applyProtection="0"/>
    <xf numFmtId="0" fontId="124" fillId="0" borderId="22" applyNumberFormat="0" applyFill="0" applyAlignment="0" applyProtection="0"/>
    <xf numFmtId="0" fontId="124" fillId="0" borderId="22" applyNumberFormat="0" applyFill="0" applyAlignment="0" applyProtection="0"/>
    <xf numFmtId="0" fontId="124" fillId="0" borderId="22" applyNumberFormat="0" applyFill="0" applyAlignment="0" applyProtection="0"/>
    <xf numFmtId="0" fontId="91" fillId="5" borderId="13" applyNumberFormat="0" applyAlignment="0" applyProtection="0"/>
    <xf numFmtId="3" fontId="73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6" fillId="35" borderId="0" applyNumberFormat="0" applyBorder="0" applyAlignment="0" applyProtection="0"/>
    <xf numFmtId="0" fontId="126" fillId="35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87" fillId="23" borderId="0" applyNumberFormat="0" applyBorder="0" applyAlignment="0" applyProtection="0"/>
    <xf numFmtId="0" fontId="126" fillId="35" borderId="0" applyNumberFormat="0" applyBorder="0" applyAlignment="0" applyProtection="0"/>
    <xf numFmtId="0" fontId="126" fillId="35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39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126" fillId="39" borderId="0" applyNumberFormat="0" applyBorder="0" applyAlignment="0" applyProtection="0"/>
    <xf numFmtId="0" fontId="126" fillId="39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1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87" fillId="19" borderId="0" applyNumberFormat="0" applyBorder="0" applyAlignment="0" applyProtection="0"/>
    <xf numFmtId="0" fontId="126" fillId="51" borderId="0" applyNumberFormat="0" applyBorder="0" applyAlignment="0" applyProtection="0"/>
    <xf numFmtId="0" fontId="126" fillId="51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26" fillId="55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126" fillId="55" borderId="0" applyNumberFormat="0" applyBorder="0" applyAlignment="0" applyProtection="0"/>
    <xf numFmtId="0" fontId="126" fillId="55" borderId="0" applyNumberFormat="0" applyBorder="0" applyAlignment="0" applyProtection="0"/>
    <xf numFmtId="0" fontId="126" fillId="55" borderId="0" applyNumberFormat="0" applyBorder="0" applyAlignment="0" applyProtection="0"/>
    <xf numFmtId="0" fontId="121" fillId="31" borderId="20" applyNumberFormat="0" applyAlignment="0" applyProtection="0"/>
    <xf numFmtId="0" fontId="121" fillId="31" borderId="20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93" fillId="7" borderId="3" applyNumberFormat="0" applyAlignment="0" applyProtection="0"/>
    <xf numFmtId="0" fontId="121" fillId="31" borderId="20" applyNumberFormat="0" applyAlignment="0" applyProtection="0"/>
    <xf numFmtId="0" fontId="121" fillId="31" borderId="20" applyNumberFormat="0" applyAlignment="0" applyProtection="0"/>
    <xf numFmtId="0" fontId="121" fillId="31" borderId="20" applyNumberFormat="0" applyAlignment="0" applyProtection="0"/>
    <xf numFmtId="0" fontId="103" fillId="0" borderId="0" applyNumberFormat="0" applyFill="0" applyBorder="0" applyAlignment="0" applyProtection="0"/>
    <xf numFmtId="0" fontId="77" fillId="0" borderId="0">
      <protection locked="0"/>
    </xf>
    <xf numFmtId="0" fontId="70" fillId="0" borderId="0">
      <protection locked="0"/>
    </xf>
    <xf numFmtId="0" fontId="131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" fontId="75" fillId="0" borderId="0" applyFont="0" applyFill="0" applyBorder="0" applyAlignment="0" applyProtection="0"/>
    <xf numFmtId="0" fontId="88" fillId="11" borderId="0" applyNumberFormat="0" applyBorder="0" applyAlignment="0" applyProtection="0"/>
    <xf numFmtId="0" fontId="132" fillId="0" borderId="0">
      <alignment horizontal="left"/>
    </xf>
    <xf numFmtId="0" fontId="104" fillId="0" borderId="26" applyNumberFormat="0" applyFill="0" applyAlignment="0" applyProtection="0"/>
    <xf numFmtId="0" fontId="105" fillId="0" borderId="27" applyNumberFormat="0" applyFill="0" applyAlignment="0" applyProtection="0"/>
    <xf numFmtId="0" fontId="106" fillId="0" borderId="28" applyNumberFormat="0" applyFill="0" applyAlignment="0" applyProtection="0"/>
    <xf numFmtId="0" fontId="106" fillId="0" borderId="0" applyNumberFormat="0" applyFill="0" applyBorder="0" applyAlignment="0" applyProtection="0"/>
    <xf numFmtId="0" fontId="133" fillId="0" borderId="0">
      <alignment horizontal="center" textRotation="90"/>
    </xf>
    <xf numFmtId="0" fontId="134" fillId="0" borderId="0" applyNumberFormat="0" applyFill="0" applyBorder="0" applyAlignment="0" applyProtection="0">
      <alignment vertical="top"/>
      <protection locked="0"/>
    </xf>
    <xf numFmtId="0" fontId="119" fillId="29" borderId="0" applyNumberFormat="0" applyBorder="0" applyAlignment="0" applyProtection="0"/>
    <xf numFmtId="0" fontId="119" fillId="29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119" fillId="29" borderId="0" applyNumberFormat="0" applyBorder="0" applyAlignment="0" applyProtection="0"/>
    <xf numFmtId="0" fontId="119" fillId="29" borderId="0" applyNumberFormat="0" applyBorder="0" applyAlignment="0" applyProtection="0"/>
    <xf numFmtId="0" fontId="119" fillId="29" borderId="0" applyNumberFormat="0" applyBorder="0" applyAlignment="0" applyProtection="0"/>
    <xf numFmtId="0" fontId="66" fillId="0" borderId="0"/>
    <xf numFmtId="0" fontId="66" fillId="0" borderId="0"/>
    <xf numFmtId="0" fontId="93" fillId="16" borderId="3" applyNumberFormat="0" applyAlignment="0" applyProtection="0"/>
    <xf numFmtId="0" fontId="102" fillId="0" borderId="29" applyNumberFormat="0" applyFill="0" applyAlignment="0" applyProtection="0"/>
    <xf numFmtId="38" fontId="135" fillId="0" borderId="0" applyFont="0" applyFill="0" applyBorder="0" applyAlignment="0" applyProtection="0"/>
    <xf numFmtId="40" fontId="135" fillId="0" borderId="0" applyFont="0" applyFill="0" applyBorder="0" applyAlignment="0" applyProtection="0"/>
    <xf numFmtId="0" fontId="136" fillId="0" borderId="14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3" fontId="137" fillId="0" borderId="0" applyFont="0" applyFill="0" applyBorder="0" applyAlignment="0" applyProtection="0"/>
    <xf numFmtId="183" fontId="75" fillId="0" borderId="0" applyFont="0" applyFill="0" applyBorder="0" applyAlignment="0" applyProtection="0"/>
    <xf numFmtId="200" fontId="60" fillId="0" borderId="0" applyFont="0" applyFill="0" applyBorder="0" applyAlignment="0" applyProtection="0"/>
    <xf numFmtId="201" fontId="60" fillId="0" borderId="0" applyFont="0" applyFill="0" applyBorder="0" applyAlignment="0" applyProtection="0"/>
    <xf numFmtId="0" fontId="120" fillId="30" borderId="0" applyNumberFormat="0" applyBorder="0" applyAlignment="0" applyProtection="0"/>
    <xf numFmtId="0" fontId="120" fillId="30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120" fillId="30" borderId="0" applyNumberFormat="0" applyBorder="0" applyAlignment="0" applyProtection="0"/>
    <xf numFmtId="0" fontId="120" fillId="30" borderId="0" applyNumberFormat="0" applyBorder="0" applyAlignment="0" applyProtection="0"/>
    <xf numFmtId="0" fontId="120" fillId="30" borderId="0" applyNumberFormat="0" applyBorder="0" applyAlignment="0" applyProtection="0"/>
    <xf numFmtId="0" fontId="138" fillId="16" borderId="0" applyNumberFormat="0" applyBorder="0" applyAlignment="0" applyProtection="0"/>
    <xf numFmtId="0" fontId="76" fillId="0" borderId="0"/>
    <xf numFmtId="0" fontId="76" fillId="0" borderId="0"/>
    <xf numFmtId="0" fontId="76" fillId="0" borderId="0"/>
    <xf numFmtId="0" fontId="4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41" fillId="0" borderId="0"/>
    <xf numFmtId="0" fontId="4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 applyNumberFormat="0" applyFont="0" applyFill="0" applyBorder="0" applyAlignment="0" applyProtection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6" fillId="0" borderId="0"/>
    <xf numFmtId="0" fontId="60" fillId="0" borderId="0"/>
    <xf numFmtId="0" fontId="60" fillId="0" borderId="0"/>
    <xf numFmtId="0" fontId="41" fillId="0" borderId="0"/>
    <xf numFmtId="0" fontId="69" fillId="0" borderId="0"/>
    <xf numFmtId="0" fontId="69" fillId="0" borderId="0"/>
    <xf numFmtId="0" fontId="76" fillId="0" borderId="0"/>
    <xf numFmtId="0" fontId="7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9" fontId="66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9" fontId="6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1" fillId="0" borderId="0"/>
    <xf numFmtId="0" fontId="60" fillId="0" borderId="0"/>
    <xf numFmtId="0" fontId="60" fillId="0" borderId="0"/>
    <xf numFmtId="0" fontId="13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/>
    <xf numFmtId="0" fontId="6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41" fillId="34" borderId="24" applyNumberFormat="0" applyFont="0" applyAlignment="0" applyProtection="0"/>
    <xf numFmtId="0" fontId="69" fillId="9" borderId="6" applyNumberFormat="0" applyFont="0" applyAlignment="0" applyProtection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98" fillId="9" borderId="6" applyNumberFormat="0" applyFont="0" applyAlignment="0" applyProtection="0"/>
    <xf numFmtId="40" fontId="141" fillId="0" borderId="0" applyFont="0" applyFill="0" applyBorder="0" applyAlignment="0" applyProtection="0"/>
    <xf numFmtId="38" fontId="141" fillId="0" borderId="0" applyFont="0" applyFill="0" applyBorder="0" applyAlignment="0" applyProtection="0"/>
    <xf numFmtId="0" fontId="100" fillId="22" borderId="7" applyNumberFormat="0" applyAlignment="0" applyProtection="0"/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122" fillId="32" borderId="21" applyNumberFormat="0" applyAlignment="0" applyProtection="0"/>
    <xf numFmtId="0" fontId="122" fillId="32" borderId="21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00" fillId="13" borderId="7" applyNumberFormat="0" applyAlignment="0" applyProtection="0"/>
    <xf numFmtId="0" fontId="122" fillId="32" borderId="21" applyNumberFormat="0" applyAlignment="0" applyProtection="0"/>
    <xf numFmtId="0" fontId="122" fillId="32" borderId="21" applyNumberFormat="0" applyAlignment="0" applyProtection="0"/>
    <xf numFmtId="0" fontId="122" fillId="32" borderId="21" applyNumberFormat="0" applyAlignment="0" applyProtection="0"/>
    <xf numFmtId="187" fontId="78" fillId="0" borderId="0">
      <protection locked="0"/>
    </xf>
    <xf numFmtId="187" fontId="78" fillId="0" borderId="0">
      <protection locked="0"/>
    </xf>
    <xf numFmtId="187" fontId="78" fillId="0" borderId="0">
      <protection locked="0"/>
    </xf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0" fontId="136" fillId="0" borderId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02" fontId="144" fillId="0" borderId="0">
      <alignment horizontal="center" textRotation="90"/>
    </xf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0" fillId="0" borderId="9" applyNumberFormat="0" applyFill="0" applyAlignment="0" applyProtection="0"/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79" fillId="0" borderId="0" applyNumberFormat="0" applyFill="0" applyBorder="0" applyAlignment="0" applyProtection="0"/>
    <xf numFmtId="0" fontId="117" fillId="0" borderId="19" applyNumberFormat="0" applyFill="0" applyAlignment="0" applyProtection="0"/>
    <xf numFmtId="0" fontId="117" fillId="0" borderId="19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7" fillId="0" borderId="19" applyNumberFormat="0" applyFill="0" applyAlignment="0" applyProtection="0"/>
    <xf numFmtId="0" fontId="117" fillId="0" borderId="19" applyNumberFormat="0" applyFill="0" applyAlignment="0" applyProtection="0"/>
    <xf numFmtId="0" fontId="117" fillId="0" borderId="19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49" fontId="146" fillId="0" borderId="2">
      <alignment horizontal="left" vertical="center"/>
    </xf>
    <xf numFmtId="49" fontId="146" fillId="0" borderId="2">
      <alignment horizontal="left" vertical="center"/>
    </xf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85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3" fontId="75" fillId="0" borderId="0" applyFont="0" applyFill="0" applyBorder="0" applyAlignment="0" applyProtection="0"/>
    <xf numFmtId="203" fontId="60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40" fillId="0" borderId="0"/>
    <xf numFmtId="0" fontId="148" fillId="0" borderId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173" fontId="60" fillId="0" borderId="0" applyFont="0" applyFill="0" applyBorder="0" applyAlignment="0" applyProtection="0"/>
    <xf numFmtId="0" fontId="90" fillId="13" borderId="42" applyNumberFormat="0" applyAlignment="0" applyProtection="0"/>
    <xf numFmtId="168" fontId="60" fillId="0" borderId="0" applyFont="0" applyFill="0" applyBorder="0" applyAlignment="0" applyProtection="0"/>
    <xf numFmtId="190" fontId="60" fillId="0" borderId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49" fontId="60" fillId="0" borderId="0" applyProtection="0"/>
    <xf numFmtId="49" fontId="60" fillId="0" borderId="0" applyProtection="0"/>
    <xf numFmtId="0" fontId="90" fillId="13" borderId="42" applyNumberFormat="0" applyAlignment="0" applyProtection="0"/>
    <xf numFmtId="49" fontId="60" fillId="0" borderId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49" fontId="60" fillId="0" borderId="0" applyProtection="0"/>
    <xf numFmtId="0" fontId="60" fillId="0" borderId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49" fontId="60" fillId="0" borderId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9" fontId="60" fillId="0" borderId="0" applyFont="0" applyFill="0" applyBorder="0" applyAlignment="0" applyProtection="0"/>
    <xf numFmtId="9" fontId="60" fillId="0" borderId="0" applyFill="0" applyBorder="0" applyAlignment="0" applyProtection="0"/>
    <xf numFmtId="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42" fontId="60" fillId="0" borderId="0" applyFill="0" applyBorder="0" applyAlignment="0" applyProtection="0"/>
    <xf numFmtId="42" fontId="60" fillId="0" borderId="0" applyFill="0" applyBorder="0" applyAlignment="0" applyProtection="0"/>
    <xf numFmtId="171" fontId="60" fillId="0" borderId="0" applyFill="0" applyBorder="0" applyAlignment="0" applyProtection="0"/>
    <xf numFmtId="179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0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0" fontId="90" fillId="13" borderId="42" applyNumberFormat="0" applyAlignment="0" applyProtection="0"/>
    <xf numFmtId="43" fontId="40" fillId="0" borderId="0" applyFont="0" applyFill="0" applyBorder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90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0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90" fillId="13" borderId="42" applyNumberFormat="0" applyAlignment="0" applyProtection="0"/>
    <xf numFmtId="0" fontId="40" fillId="0" borderId="0"/>
    <xf numFmtId="0" fontId="90" fillId="13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22" borderId="31" applyNumberFormat="0" applyAlignment="0" applyProtection="0"/>
    <xf numFmtId="0" fontId="90" fillId="22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40" fillId="0" borderId="0"/>
    <xf numFmtId="0" fontId="76" fillId="9" borderId="32" applyNumberFormat="0" applyFont="0" applyAlignment="0" applyProtection="0"/>
    <xf numFmtId="0" fontId="76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100" fillId="22" borderId="33" applyNumberFormat="0" applyAlignment="0" applyProtection="0"/>
    <xf numFmtId="0" fontId="100" fillId="22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43" fontId="40" fillId="0" borderId="0" applyFont="0" applyFill="0" applyBorder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28" fillId="22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93" fillId="16" borderId="42" applyNumberFormat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28" fillId="22" borderId="31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0" fillId="13" borderId="31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7" borderId="31" applyNumberFormat="0" applyAlignment="0" applyProtection="0"/>
    <xf numFmtId="0" fontId="93" fillId="16" borderId="31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40" fillId="0" borderId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40" fillId="34" borderId="24" applyNumberFormat="0" applyFont="0" applyAlignment="0" applyProtection="0"/>
    <xf numFmtId="0" fontId="69" fillId="9" borderId="32" applyNumberFormat="0" applyFont="0" applyAlignment="0" applyProtection="0"/>
    <xf numFmtId="0" fontId="98" fillId="9" borderId="32" applyNumberFormat="0" applyFont="0" applyAlignment="0" applyProtection="0"/>
    <xf numFmtId="0" fontId="100" fillId="22" borderId="33" applyNumberFormat="0" applyAlignment="0" applyProtection="0"/>
    <xf numFmtId="9" fontId="40" fillId="0" borderId="0" applyFont="0" applyFill="0" applyBorder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33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22" borderId="44" applyNumberFormat="0" applyAlignment="0" applyProtection="0"/>
    <xf numFmtId="0" fontId="100" fillId="22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22" borderId="42" applyNumberFormat="0" applyAlignment="0" applyProtection="0"/>
    <xf numFmtId="0" fontId="90" fillId="22" borderId="42" applyNumberFormat="0" applyAlignment="0" applyProtection="0"/>
    <xf numFmtId="171" fontId="60" fillId="0" borderId="0" applyFill="0" applyBorder="0" applyAlignment="0" applyProtection="0"/>
    <xf numFmtId="0" fontId="148" fillId="0" borderId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1" fillId="5" borderId="13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22" borderId="41" applyNumberFormat="0" applyAlignment="0" applyProtection="0"/>
    <xf numFmtId="0" fontId="100" fillId="13" borderId="41" applyNumberFormat="0" applyAlignment="0" applyProtection="0"/>
    <xf numFmtId="0" fontId="147" fillId="0" borderId="38" applyNumberFormat="0" applyFill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28" fillId="22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47" fillId="0" borderId="38" applyNumberFormat="0" applyFill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91" fillId="5" borderId="13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147" fillId="0" borderId="38" applyNumberFormat="0" applyFill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0" fillId="22" borderId="34" applyNumberFormat="0" applyAlignment="0" applyProtection="0"/>
    <xf numFmtId="0" fontId="90" fillId="22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60" fillId="9" borderId="40" applyNumberFormat="0" applyFont="0" applyAlignment="0" applyProtection="0"/>
    <xf numFmtId="0" fontId="100" fillId="22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6" fillId="9" borderId="35" applyNumberFormat="0" applyFont="0" applyAlignment="0" applyProtection="0"/>
    <xf numFmtId="0" fontId="76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1" fillId="13" borderId="13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00" fillId="22" borderId="36" applyNumberFormat="0" applyAlignment="0" applyProtection="0"/>
    <xf numFmtId="0" fontId="100" fillId="22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147" fillId="0" borderId="38" applyNumberFormat="0" applyFill="0" applyAlignment="0" applyProtection="0"/>
    <xf numFmtId="0" fontId="100" fillId="13" borderId="41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60" fillId="9" borderId="40" applyNumberFormat="0" applyFon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60" fillId="0" borderId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91" fillId="5" borderId="13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100" fillId="22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60" fillId="9" borderId="40" applyNumberFormat="0" applyFont="0" applyAlignment="0" applyProtection="0"/>
    <xf numFmtId="0" fontId="90" fillId="13" borderId="39" applyNumberForma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28" fillId="22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90" fillId="13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93" fillId="7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98" fillId="9" borderId="40" applyNumberFormat="0" applyFont="0" applyAlignment="0" applyProtection="0"/>
    <xf numFmtId="0" fontId="90" fillId="13" borderId="39" applyNumberFormat="0" applyAlignment="0" applyProtection="0"/>
    <xf numFmtId="0" fontId="93" fillId="16" borderId="34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1" fillId="5" borderId="13" applyNumberFormat="0" applyAlignment="0" applyProtection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22" borderId="39" applyNumberFormat="0" applyAlignment="0" applyProtection="0"/>
    <xf numFmtId="0" fontId="90" fillId="22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0" fillId="9" borderId="40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0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0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3" fillId="7" borderId="39" applyNumberFormat="0" applyAlignment="0" applyProtection="0"/>
    <xf numFmtId="0" fontId="69" fillId="9" borderId="35" applyNumberFormat="0" applyFont="0" applyAlignment="0" applyProtection="0"/>
    <xf numFmtId="0" fontId="90" fillId="13" borderId="39" applyNumberFormat="0" applyAlignment="0" applyProtection="0"/>
    <xf numFmtId="0" fontId="98" fillId="9" borderId="35" applyNumberFormat="0" applyFont="0" applyAlignment="0" applyProtection="0"/>
    <xf numFmtId="0" fontId="60" fillId="9" borderId="40" applyNumberFormat="0" applyFont="0" applyAlignment="0" applyProtection="0"/>
    <xf numFmtId="0" fontId="100" fillId="22" borderId="36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1" fillId="5" borderId="13" applyNumberFormat="0" applyAlignment="0" applyProtection="0"/>
    <xf numFmtId="0" fontId="91" fillId="13" borderId="13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100" fillId="22" borderId="41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28" fillId="22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100" fillId="13" borderId="36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60" fillId="0" borderId="0"/>
    <xf numFmtId="0" fontId="100" fillId="22" borderId="41" applyNumberFormat="0" applyAlignment="0" applyProtection="0"/>
    <xf numFmtId="0" fontId="100" fillId="13" borderId="41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16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1" fillId="5" borderId="13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128" fillId="22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16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60" fillId="9" borderId="40" applyNumberFormat="0" applyFon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1" fillId="5" borderId="13" applyNumberFormat="0" applyAlignment="0" applyProtection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00" fillId="22" borderId="41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1" fillId="5" borderId="13" applyNumberFormat="0" applyAlignment="0" applyProtection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22" borderId="39" applyNumberFormat="0" applyAlignment="0" applyProtection="0"/>
    <xf numFmtId="0" fontId="90" fillId="22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3" fillId="16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60" fillId="9" borderId="40" applyNumberFormat="0" applyFont="0" applyAlignment="0" applyProtection="0"/>
    <xf numFmtId="0" fontId="100" fillId="22" borderId="41" applyNumberFormat="0" applyAlignment="0" applyProtection="0"/>
    <xf numFmtId="0" fontId="100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75" fillId="0" borderId="12" applyNumberFormat="0" applyFont="0" applyFill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3" fillId="7" borderId="39" applyNumberFormat="0" applyAlignment="0" applyProtection="0"/>
    <xf numFmtId="0" fontId="60" fillId="0" borderId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3" fillId="7" borderId="39" applyNumberFormat="0" applyAlignment="0" applyProtection="0"/>
    <xf numFmtId="0" fontId="60" fillId="0" borderId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98" fillId="9" borderId="40" applyNumberFormat="0" applyFont="0" applyAlignment="0" applyProtection="0"/>
    <xf numFmtId="0" fontId="100" fillId="22" borderId="41" applyNumberFormat="0" applyAlignment="0" applyProtection="0"/>
    <xf numFmtId="0" fontId="91" fillId="5" borderId="13" applyNumberFormat="0" applyAlignment="0" applyProtection="0"/>
    <xf numFmtId="0" fontId="91" fillId="13" borderId="13" applyNumberFormat="0" applyAlignment="0" applyProtection="0"/>
    <xf numFmtId="0" fontId="91" fillId="13" borderId="13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3" fillId="7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13" borderId="39" applyNumberFormat="0" applyAlignment="0" applyProtection="0"/>
    <xf numFmtId="0" fontId="90" fillId="22" borderId="39" applyNumberFormat="0" applyAlignment="0" applyProtection="0"/>
    <xf numFmtId="0" fontId="90" fillId="22" borderId="39" applyNumberFormat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98" fillId="9" borderId="40" applyNumberFormat="0" applyFont="0" applyAlignment="0" applyProtection="0"/>
    <xf numFmtId="0" fontId="100" fillId="22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100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98" fillId="9" borderId="43" applyNumberFormat="0" applyFon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47" fillId="0" borderId="45" applyNumberFormat="0" applyFill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28" fillId="22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47" fillId="0" borderId="45" applyNumberFormat="0" applyFill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147" fillId="0" borderId="45" applyNumberFormat="0" applyFill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0" fillId="22" borderId="42" applyNumberFormat="0" applyAlignment="0" applyProtection="0"/>
    <xf numFmtId="0" fontId="90" fillId="22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00" fillId="22" borderId="44" applyNumberForma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47" fillId="0" borderId="45" applyNumberFormat="0" applyFill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60" fillId="9" borderId="43" applyNumberFormat="0" applyFont="0" applyAlignment="0" applyProtection="0"/>
    <xf numFmtId="0" fontId="90" fillId="13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28" fillId="22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98" fillId="9" borderId="43" applyNumberFormat="0" applyFont="0" applyAlignment="0" applyProtection="0"/>
    <xf numFmtId="0" fontId="90" fillId="13" borderId="42" applyNumberFormat="0" applyAlignment="0" applyProtection="0"/>
    <xf numFmtId="0" fontId="93" fillId="16" borderId="42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22" borderId="42" applyNumberFormat="0" applyAlignment="0" applyProtection="0"/>
    <xf numFmtId="0" fontId="90" fillId="22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69" fillId="9" borderId="43" applyNumberFormat="0" applyFont="0" applyAlignment="0" applyProtection="0"/>
    <xf numFmtId="0" fontId="90" fillId="13" borderId="42" applyNumberFormat="0" applyAlignment="0" applyProtection="0"/>
    <xf numFmtId="0" fontId="98" fillId="9" borderId="43" applyNumberFormat="0" applyFont="0" applyAlignment="0" applyProtection="0"/>
    <xf numFmtId="0" fontId="60" fillId="9" borderId="43" applyNumberFormat="0" applyFont="0" applyAlignment="0" applyProtection="0"/>
    <xf numFmtId="0" fontId="100" fillId="22" borderId="44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00" fillId="22" borderId="44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28" fillId="22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16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28" fillId="22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16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60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00" fillId="22" borderId="44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22" borderId="42" applyNumberFormat="0" applyAlignment="0" applyProtection="0"/>
    <xf numFmtId="0" fontId="90" fillId="22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16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60" fillId="9" borderId="43" applyNumberFormat="0" applyFon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3" fillId="7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98" fillId="9" borderId="43" applyNumberFormat="0" applyFon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3" fillId="7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13" borderId="42" applyNumberFormat="0" applyAlignment="0" applyProtection="0"/>
    <xf numFmtId="0" fontId="90" fillId="22" borderId="42" applyNumberFormat="0" applyAlignment="0" applyProtection="0"/>
    <xf numFmtId="0" fontId="90" fillId="22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98" fillId="9" borderId="43" applyNumberFormat="0" applyFont="0" applyAlignment="0" applyProtection="0"/>
    <xf numFmtId="0" fontId="100" fillId="22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00" fillId="13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43" fontId="64" fillId="0" borderId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6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6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3" fillId="7" borderId="52" applyNumberFormat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36" fillId="0" borderId="0"/>
    <xf numFmtId="0" fontId="93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3" fillId="7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3" fillId="7" borderId="5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3" fillId="7" borderId="52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69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1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0" fillId="13" borderId="52" applyNumberFormat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1" fillId="5" borderId="46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3" fillId="7" borderId="52" applyNumberFormat="0" applyAlignment="0" applyProtection="0"/>
    <xf numFmtId="43" fontId="60" fillId="0" borderId="0" applyFont="0" applyFill="0" applyBorder="0" applyAlignment="0" applyProtection="0"/>
    <xf numFmtId="0" fontId="93" fillId="7" borderId="52" applyNumberFormat="0" applyAlignment="0" applyProtection="0"/>
    <xf numFmtId="0" fontId="36" fillId="0" borderId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0" fillId="13" borderId="55" applyNumberFormat="0" applyAlignment="0" applyProtection="0"/>
    <xf numFmtId="0" fontId="36" fillId="36" borderId="0" applyNumberFormat="0" applyBorder="0" applyAlignment="0" applyProtection="0"/>
    <xf numFmtId="0" fontId="100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0" fillId="13" borderId="55" applyNumberFormat="0" applyAlignment="0" applyProtection="0"/>
    <xf numFmtId="0" fontId="36" fillId="40" borderId="0" applyNumberFormat="0" applyBorder="0" applyAlignment="0" applyProtection="0"/>
    <xf numFmtId="0" fontId="100" fillId="13" borderId="55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0" fillId="13" borderId="55" applyNumberFormat="0" applyAlignment="0" applyProtection="0"/>
    <xf numFmtId="0" fontId="36" fillId="44" borderId="0" applyNumberFormat="0" applyBorder="0" applyAlignment="0" applyProtection="0"/>
    <xf numFmtId="0" fontId="100" fillId="13" borderId="55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0" fillId="13" borderId="55" applyNumberFormat="0" applyAlignment="0" applyProtection="0"/>
    <xf numFmtId="0" fontId="36" fillId="48" borderId="0" applyNumberFormat="0" applyBorder="0" applyAlignment="0" applyProtection="0"/>
    <xf numFmtId="0" fontId="100" fillId="13" borderId="55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0" fillId="13" borderId="55" applyNumberFormat="0" applyAlignment="0" applyProtection="0"/>
    <xf numFmtId="0" fontId="36" fillId="52" borderId="0" applyNumberFormat="0" applyBorder="0" applyAlignment="0" applyProtection="0"/>
    <xf numFmtId="0" fontId="100" fillId="13" borderId="55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0" fillId="13" borderId="55" applyNumberFormat="0" applyAlignment="0" applyProtection="0"/>
    <xf numFmtId="0" fontId="36" fillId="56" borderId="0" applyNumberFormat="0" applyBorder="0" applyAlignment="0" applyProtection="0"/>
    <xf numFmtId="0" fontId="100" fillId="13" borderId="55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0" fillId="13" borderId="55" applyNumberFormat="0" applyAlignment="0" applyProtection="0"/>
    <xf numFmtId="0" fontId="36" fillId="37" borderId="0" applyNumberFormat="0" applyBorder="0" applyAlignment="0" applyProtection="0"/>
    <xf numFmtId="0" fontId="100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0" fillId="22" borderId="55" applyNumberFormat="0" applyAlignment="0" applyProtection="0"/>
    <xf numFmtId="0" fontId="98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60" fillId="9" borderId="54" applyNumberFormat="0" applyFon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1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137" fillId="0" borderId="0" applyFont="0" applyFill="0" applyBorder="0" applyAlignment="0" applyProtection="0"/>
    <xf numFmtId="0" fontId="36" fillId="0" borderId="0"/>
    <xf numFmtId="0" fontId="93" fillId="16" borderId="52" applyNumberFormat="0" applyAlignment="0" applyProtection="0"/>
    <xf numFmtId="0" fontId="36" fillId="0" borderId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3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93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3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36" fillId="34" borderId="24" applyNumberFormat="0" applyFon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36" fillId="34" borderId="24" applyNumberFormat="0" applyFon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128" fillId="22" borderId="52" applyNumberForma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9" fontId="36" fillId="0" borderId="0" applyFont="0" applyFill="0" applyBorder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22" borderId="55" applyNumberFormat="0" applyAlignment="0" applyProtection="0"/>
    <xf numFmtId="0" fontId="100" fillId="22" borderId="55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13" borderId="52" applyNumberFormat="0" applyAlignment="0" applyProtection="0"/>
    <xf numFmtId="0" fontId="90" fillId="22" borderId="52" applyNumberFormat="0" applyAlignment="0" applyProtection="0"/>
    <xf numFmtId="0" fontId="90" fillId="22" borderId="52" applyNumberFormat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0" fillId="0" borderId="0" applyFill="0" applyBorder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36" fillId="0" borderId="0"/>
    <xf numFmtId="0" fontId="60" fillId="0" borderId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167" fontId="60" fillId="0" borderId="0" applyFont="0" applyFill="0" applyBorder="0" applyAlignment="0" applyProtection="0"/>
    <xf numFmtId="0" fontId="90" fillId="13" borderId="49" applyNumberFormat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52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0" fontId="93" fillId="7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90" fillId="13" borderId="49" applyNumberFormat="0" applyAlignment="0" applyProtection="0"/>
    <xf numFmtId="43" fontId="36" fillId="0" borderId="0" applyFont="0" applyFill="0" applyBorder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0" fillId="13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0" fillId="13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0" fillId="13" borderId="49" applyNumberFormat="0" applyAlignment="0" applyProtection="0"/>
    <xf numFmtId="0" fontId="36" fillId="0" borderId="0"/>
    <xf numFmtId="0" fontId="90" fillId="13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36" fillId="0" borderId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43" fontId="36" fillId="0" borderId="0" applyFont="0" applyFill="0" applyBorder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28" fillId="22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93" fillId="16" borderId="49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28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16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36" fillId="0" borderId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100" fillId="22" borderId="51" applyNumberFormat="0" applyAlignment="0" applyProtection="0"/>
    <xf numFmtId="9" fontId="36" fillId="0" borderId="0" applyFont="0" applyFill="0" applyBorder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22" borderId="51" applyNumberFormat="0" applyAlignment="0" applyProtection="0"/>
    <xf numFmtId="0" fontId="100" fillId="22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165" fontId="60" fillId="0" borderId="0" applyFill="0" applyBorder="0" applyAlignment="0" applyProtection="0"/>
    <xf numFmtId="0" fontId="60" fillId="0" borderId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1" fillId="5" borderId="46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28" fillId="22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91" fillId="5" borderId="46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47" fillId="0" borderId="48" applyNumberFormat="0" applyFill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1" fillId="13" borderId="46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00" fillId="22" borderId="51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47" fillId="0" borderId="48" applyNumberFormat="0" applyFill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93" fillId="7" borderId="52" applyNumberForma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1" fillId="5" borderId="46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28" fillId="22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1" fillId="5" borderId="46" applyNumberForma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69" fillId="9" borderId="50" applyNumberFormat="0" applyFont="0" applyAlignment="0" applyProtection="0"/>
    <xf numFmtId="0" fontId="90" fillId="13" borderId="49" applyNumberFormat="0" applyAlignment="0" applyProtection="0"/>
    <xf numFmtId="0" fontId="98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1" fillId="5" borderId="46" applyNumberFormat="0" applyAlignment="0" applyProtection="0"/>
    <xf numFmtId="0" fontId="91" fillId="13" borderId="46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100" fillId="22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28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52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5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5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1" fillId="5" borderId="46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28" fillId="22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1" fillId="5" borderId="46" applyNumberForma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00" fillId="22" borderId="51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1" fillId="5" borderId="46" applyNumberForma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75" fillId="0" borderId="47" applyNumberFormat="0" applyFon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3" fillId="7" borderId="49" applyNumberFormat="0" applyAlignment="0" applyProtection="0"/>
    <xf numFmtId="0" fontId="93" fillId="7" borderId="52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3" fillId="7" borderId="49" applyNumberFormat="0" applyAlignment="0" applyProtection="0"/>
    <xf numFmtId="0" fontId="93" fillId="7" borderId="52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100" fillId="22" borderId="51" applyNumberFormat="0" applyAlignment="0" applyProtection="0"/>
    <xf numFmtId="0" fontId="91" fillId="5" borderId="46" applyNumberFormat="0" applyAlignment="0" applyProtection="0"/>
    <xf numFmtId="0" fontId="91" fillId="13" borderId="46" applyNumberFormat="0" applyAlignment="0" applyProtection="0"/>
    <xf numFmtId="0" fontId="91" fillId="13" borderId="46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28" fillId="22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47" fillId="0" borderId="48" applyNumberFormat="0" applyFill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00" fillId="22" borderId="51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47" fillId="0" borderId="48" applyNumberFormat="0" applyFill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28" fillId="22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69" fillId="9" borderId="50" applyNumberFormat="0" applyFont="0" applyAlignment="0" applyProtection="0"/>
    <xf numFmtId="0" fontId="90" fillId="13" borderId="49" applyNumberFormat="0" applyAlignment="0" applyProtection="0"/>
    <xf numFmtId="0" fontId="98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22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28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28" fillId="22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60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22" borderId="51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16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60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3" fillId="7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3" fillId="7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13" borderId="49" applyNumberFormat="0" applyAlignment="0" applyProtection="0"/>
    <xf numFmtId="0" fontId="90" fillId="22" borderId="49" applyNumberFormat="0" applyAlignment="0" applyProtection="0"/>
    <xf numFmtId="0" fontId="90" fillId="22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98" fillId="9" borderId="50" applyNumberFormat="0" applyFont="0" applyAlignment="0" applyProtection="0"/>
    <xf numFmtId="0" fontId="100" fillId="22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00" fillId="13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69" fillId="7" borderId="0" applyNumberFormat="0" applyBorder="0" applyAlignment="0" applyProtection="0"/>
    <xf numFmtId="177" fontId="60" fillId="0" borderId="0"/>
    <xf numFmtId="184" fontId="60" fillId="0" borderId="0"/>
    <xf numFmtId="177" fontId="60" fillId="0" borderId="0"/>
    <xf numFmtId="0" fontId="60" fillId="0" borderId="0"/>
    <xf numFmtId="9" fontId="60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100" fillId="13" borderId="55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28" fillId="22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28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16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22" borderId="60" applyNumberFormat="0" applyAlignment="0" applyProtection="0"/>
    <xf numFmtId="0" fontId="100" fillId="22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1" fillId="5" borderId="53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28" fillId="22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91" fillId="5" borderId="53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47" fillId="0" borderId="61" applyNumberFormat="0" applyFill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1" fillId="13" borderId="53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00" fillId="22" borderId="60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47" fillId="0" borderId="61" applyNumberFormat="0" applyFill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91" fillId="5" borderId="53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28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69" fillId="9" borderId="59" applyNumberFormat="0" applyFont="0" applyAlignment="0" applyProtection="0"/>
    <xf numFmtId="0" fontId="90" fillId="13" borderId="58" applyNumberFormat="0" applyAlignment="0" applyProtection="0"/>
    <xf numFmtId="0" fontId="98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100" fillId="22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28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5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5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1" fillId="5" borderId="53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28" fillId="22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00" fillId="22" borderId="60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3" fillId="7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100" fillId="22" borderId="60" applyNumberFormat="0" applyAlignment="0" applyProtection="0"/>
    <xf numFmtId="0" fontId="91" fillId="5" borderId="53" applyNumberFormat="0" applyAlignment="0" applyProtection="0"/>
    <xf numFmtId="0" fontId="91" fillId="13" borderId="53" applyNumberFormat="0" applyAlignment="0" applyProtection="0"/>
    <xf numFmtId="0" fontId="91" fillId="13" borderId="53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28" fillId="22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47" fillId="0" borderId="61" applyNumberFormat="0" applyFill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00" fillId="22" borderId="60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47" fillId="0" borderId="61" applyNumberFormat="0" applyFill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28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69" fillId="9" borderId="59" applyNumberFormat="0" applyFont="0" applyAlignment="0" applyProtection="0"/>
    <xf numFmtId="0" fontId="90" fillId="13" borderId="58" applyNumberFormat="0" applyAlignment="0" applyProtection="0"/>
    <xf numFmtId="0" fontId="98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22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28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28" fillId="22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60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22" borderId="60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16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60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3" fillId="7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3" fillId="7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13" borderId="58" applyNumberFormat="0" applyAlignment="0" applyProtection="0"/>
    <xf numFmtId="0" fontId="90" fillId="22" borderId="58" applyNumberFormat="0" applyAlignment="0" applyProtection="0"/>
    <xf numFmtId="0" fontId="90" fillId="22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98" fillId="9" borderId="59" applyNumberFormat="0" applyFont="0" applyAlignment="0" applyProtection="0"/>
    <xf numFmtId="0" fontId="100" fillId="22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00" fillId="13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177" fontId="60" fillId="0" borderId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149" fillId="0" borderId="0" applyNumberFormat="0" applyFill="0" applyBorder="0" applyAlignment="0" applyProtection="0"/>
    <xf numFmtId="0" fontId="60" fillId="0" borderId="0"/>
    <xf numFmtId="43" fontId="32" fillId="0" borderId="0" applyFont="0" applyFill="0" applyBorder="0" applyAlignment="0" applyProtection="0"/>
    <xf numFmtId="0" fontId="32" fillId="0" borderId="0"/>
    <xf numFmtId="43" fontId="60" fillId="0" borderId="0" applyFont="0" applyFill="0" applyBorder="0" applyAlignment="0" applyProtection="0"/>
    <xf numFmtId="0" fontId="6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169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25" fillId="0" borderId="0"/>
    <xf numFmtId="0" fontId="25" fillId="0" borderId="0"/>
    <xf numFmtId="0" fontId="151" fillId="0" borderId="0" applyNumberFormat="0" applyFill="0" applyBorder="0" applyAlignment="0" applyProtection="0"/>
    <xf numFmtId="0" fontId="115" fillId="0" borderId="17" applyNumberFormat="0" applyFill="0" applyAlignment="0" applyProtection="0"/>
    <xf numFmtId="0" fontId="116" fillId="0" borderId="18" applyNumberFormat="0" applyFill="0" applyAlignment="0" applyProtection="0"/>
    <xf numFmtId="0" fontId="117" fillId="0" borderId="19" applyNumberFormat="0" applyFill="0" applyAlignment="0" applyProtection="0"/>
    <xf numFmtId="0" fontId="117" fillId="0" borderId="0" applyNumberFormat="0" applyFill="0" applyBorder="0" applyAlignment="0" applyProtection="0"/>
    <xf numFmtId="0" fontId="118" fillId="28" borderId="0" applyNumberFormat="0" applyBorder="0" applyAlignment="0" applyProtection="0"/>
    <xf numFmtId="0" fontId="119" fillId="29" borderId="0" applyNumberFormat="0" applyBorder="0" applyAlignment="0" applyProtection="0"/>
    <xf numFmtId="0" fontId="120" fillId="30" borderId="0" applyNumberFormat="0" applyBorder="0" applyAlignment="0" applyProtection="0"/>
    <xf numFmtId="0" fontId="121" fillId="31" borderId="20" applyNumberFormat="0" applyAlignment="0" applyProtection="0"/>
    <xf numFmtId="0" fontId="122" fillId="32" borderId="21" applyNumberFormat="0" applyAlignment="0" applyProtection="0"/>
    <xf numFmtId="0" fontId="123" fillId="32" borderId="20" applyNumberFormat="0" applyAlignment="0" applyProtection="0"/>
    <xf numFmtId="0" fontId="124" fillId="0" borderId="22" applyNumberFormat="0" applyFill="0" applyAlignment="0" applyProtection="0"/>
    <xf numFmtId="0" fontId="86" fillId="33" borderId="23" applyNumberFormat="0" applyAlignment="0" applyProtection="0"/>
    <xf numFmtId="0" fontId="113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85" fillId="0" borderId="25" applyNumberFormat="0" applyFill="0" applyAlignment="0" applyProtection="0"/>
    <xf numFmtId="0" fontId="126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126" fillId="38" borderId="0" applyNumberFormat="0" applyBorder="0" applyAlignment="0" applyProtection="0"/>
    <xf numFmtId="0" fontId="126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126" fillId="42" borderId="0" applyNumberFormat="0" applyBorder="0" applyAlignment="0" applyProtection="0"/>
    <xf numFmtId="0" fontId="126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126" fillId="46" borderId="0" applyNumberFormat="0" applyBorder="0" applyAlignment="0" applyProtection="0"/>
    <xf numFmtId="0" fontId="126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126" fillId="50" borderId="0" applyNumberFormat="0" applyBorder="0" applyAlignment="0" applyProtection="0"/>
    <xf numFmtId="0" fontId="126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126" fillId="54" borderId="0" applyNumberFormat="0" applyBorder="0" applyAlignment="0" applyProtection="0"/>
    <xf numFmtId="0" fontId="126" fillId="55" borderId="0" applyNumberFormat="0" applyBorder="0" applyAlignment="0" applyProtection="0"/>
    <xf numFmtId="0" fontId="24" fillId="56" borderId="0" applyNumberFormat="0" applyBorder="0" applyAlignment="0" applyProtection="0"/>
    <xf numFmtId="0" fontId="24" fillId="57" borderId="0" applyNumberFormat="0" applyBorder="0" applyAlignment="0" applyProtection="0"/>
    <xf numFmtId="0" fontId="126" fillId="58" borderId="0" applyNumberFormat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4" borderId="2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34" borderId="24" applyNumberFormat="0" applyFont="0" applyAlignment="0" applyProtection="0"/>
    <xf numFmtId="0" fontId="23" fillId="0" borderId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0" borderId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2" fillId="34" borderId="24" applyNumberFormat="0" applyFont="0" applyAlignment="0" applyProtection="0"/>
    <xf numFmtId="0" fontId="22" fillId="0" borderId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34" borderId="24" applyNumberFormat="0" applyFont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34" borderId="24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8" fillId="0" borderId="0"/>
    <xf numFmtId="0" fontId="17" fillId="0" borderId="0"/>
    <xf numFmtId="0" fontId="8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6" fillId="0" borderId="0"/>
    <xf numFmtId="43" fontId="76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44" fontId="84" fillId="0" borderId="0" applyFont="0" applyFill="0" applyBorder="0" applyAlignment="0" applyProtection="0"/>
    <xf numFmtId="0" fontId="11" fillId="0" borderId="0"/>
    <xf numFmtId="0" fontId="84" fillId="0" borderId="0"/>
    <xf numFmtId="0" fontId="84" fillId="0" borderId="0"/>
    <xf numFmtId="169" fontId="6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9" fillId="0" borderId="0"/>
    <xf numFmtId="43" fontId="8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69" fillId="0" borderId="0" applyFont="0" applyFill="0" applyBorder="0" applyAlignment="0" applyProtection="0"/>
    <xf numFmtId="0" fontId="6" fillId="0" borderId="0"/>
    <xf numFmtId="0" fontId="6" fillId="0" borderId="0"/>
    <xf numFmtId="0" fontId="127" fillId="0" borderId="0"/>
    <xf numFmtId="0" fontId="5" fillId="0" borderId="0"/>
    <xf numFmtId="0" fontId="76" fillId="0" borderId="0"/>
    <xf numFmtId="0" fontId="4" fillId="0" borderId="0"/>
    <xf numFmtId="0" fontId="3" fillId="0" borderId="0"/>
    <xf numFmtId="0" fontId="15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/>
    <xf numFmtId="169" fontId="1" fillId="0" borderId="0" applyFont="0" applyFill="0" applyBorder="0" applyAlignment="0" applyProtection="0"/>
    <xf numFmtId="0" fontId="1" fillId="0" borderId="0"/>
    <xf numFmtId="43" fontId="140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82" fillId="3" borderId="0" xfId="0" applyFont="1" applyFill="1"/>
    <xf numFmtId="175" fontId="82" fillId="3" borderId="63" xfId="139" applyNumberFormat="1" applyFont="1" applyFill="1" applyBorder="1" applyAlignment="1">
      <alignment horizontal="center" vertical="center"/>
    </xf>
    <xf numFmtId="0" fontId="60" fillId="3" borderId="0" xfId="0" applyFont="1" applyFill="1" applyAlignment="1">
      <alignment horizontal="center"/>
    </xf>
    <xf numFmtId="0" fontId="60" fillId="3" borderId="0" xfId="0" applyFont="1" applyFill="1" applyAlignment="1">
      <alignment vertical="center"/>
    </xf>
    <xf numFmtId="0" fontId="62" fillId="3" borderId="73" xfId="0" applyFont="1" applyFill="1" applyBorder="1" applyAlignment="1">
      <alignment horizontal="center" vertical="center"/>
    </xf>
    <xf numFmtId="0" fontId="62" fillId="3" borderId="63" xfId="0" applyFont="1" applyFill="1" applyBorder="1" applyAlignment="1">
      <alignment horizontal="left" vertical="center"/>
    </xf>
    <xf numFmtId="0" fontId="62" fillId="3" borderId="63" xfId="0" applyFont="1" applyFill="1" applyBorder="1" applyAlignment="1">
      <alignment horizontal="center" vertical="center" wrapText="1"/>
    </xf>
    <xf numFmtId="0" fontId="62" fillId="3" borderId="66" xfId="0" applyFont="1" applyFill="1" applyBorder="1" applyAlignment="1">
      <alignment horizontal="center" vertical="center" wrapText="1"/>
    </xf>
    <xf numFmtId="0" fontId="82" fillId="3" borderId="73" xfId="0" applyFont="1" applyFill="1" applyBorder="1" applyAlignment="1">
      <alignment horizontal="center" vertical="center"/>
    </xf>
    <xf numFmtId="0" fontId="82" fillId="3" borderId="63" xfId="0" applyFont="1" applyFill="1" applyBorder="1" applyAlignment="1">
      <alignment horizontal="center" vertical="center"/>
    </xf>
    <xf numFmtId="0" fontId="82" fillId="3" borderId="63" xfId="0" applyFont="1" applyFill="1" applyBorder="1" applyAlignment="1">
      <alignment vertical="center"/>
    </xf>
    <xf numFmtId="0" fontId="82" fillId="3" borderId="66" xfId="0" applyFont="1" applyFill="1" applyBorder="1" applyAlignment="1">
      <alignment horizontal="center" vertical="center"/>
    </xf>
    <xf numFmtId="0" fontId="82" fillId="3" borderId="73" xfId="0" applyFont="1" applyFill="1" applyBorder="1" applyAlignment="1">
      <alignment horizontal="center"/>
    </xf>
    <xf numFmtId="0" fontId="82" fillId="3" borderId="63" xfId="0" applyFont="1" applyFill="1" applyBorder="1"/>
    <xf numFmtId="175" fontId="82" fillId="3" borderId="63" xfId="139" applyNumberFormat="1" applyFont="1" applyFill="1" applyBorder="1"/>
    <xf numFmtId="0" fontId="82" fillId="3" borderId="63" xfId="0" applyFont="1" applyFill="1" applyBorder="1" applyAlignment="1">
      <alignment horizontal="left" vertical="center"/>
    </xf>
    <xf numFmtId="0" fontId="82" fillId="3" borderId="67" xfId="0" applyFont="1" applyFill="1" applyBorder="1" applyAlignment="1">
      <alignment horizontal="center" vertical="center"/>
    </xf>
    <xf numFmtId="0" fontId="82" fillId="3" borderId="68" xfId="0" applyFont="1" applyFill="1" applyBorder="1" applyAlignment="1">
      <alignment horizontal="center" vertical="center"/>
    </xf>
    <xf numFmtId="0" fontId="82" fillId="3" borderId="68" xfId="0" applyFont="1" applyFill="1" applyBorder="1" applyAlignment="1">
      <alignment vertical="center"/>
    </xf>
    <xf numFmtId="0" fontId="82" fillId="3" borderId="69" xfId="0" applyFont="1" applyFill="1" applyBorder="1" applyAlignment="1">
      <alignment horizontal="center" vertical="center"/>
    </xf>
    <xf numFmtId="0" fontId="82" fillId="3" borderId="0" xfId="0" applyFont="1" applyFill="1" applyAlignment="1">
      <alignment horizontal="center"/>
    </xf>
    <xf numFmtId="0" fontId="82" fillId="3" borderId="0" xfId="0" applyFont="1" applyFill="1" applyAlignment="1">
      <alignment vertical="center"/>
    </xf>
    <xf numFmtId="175" fontId="82" fillId="3" borderId="63" xfId="139" applyNumberFormat="1" applyFont="1" applyFill="1" applyBorder="1" applyAlignment="1">
      <alignment horizontal="center"/>
    </xf>
    <xf numFmtId="0" fontId="82" fillId="3" borderId="63" xfId="139" applyNumberFormat="1" applyFont="1" applyFill="1" applyBorder="1" applyAlignment="1">
      <alignment horizontal="center"/>
    </xf>
    <xf numFmtId="175" fontId="82" fillId="3" borderId="66" xfId="139" applyNumberFormat="1" applyFont="1" applyFill="1" applyBorder="1"/>
    <xf numFmtId="0" fontId="62" fillId="3" borderId="67" xfId="0" applyFont="1" applyFill="1" applyBorder="1" applyAlignment="1">
      <alignment horizontal="right"/>
    </xf>
    <xf numFmtId="0" fontId="62" fillId="3" borderId="68" xfId="0" applyFont="1" applyFill="1" applyBorder="1" applyAlignment="1">
      <alignment horizontal="right"/>
    </xf>
    <xf numFmtId="175" fontId="62" fillId="3" borderId="69" xfId="0" applyNumberFormat="1" applyFont="1" applyFill="1" applyBorder="1"/>
    <xf numFmtId="175" fontId="82" fillId="3" borderId="66" xfId="139" applyNumberFormat="1" applyFont="1" applyFill="1" applyBorder="1" applyAlignment="1">
      <alignment horizontal="center"/>
    </xf>
    <xf numFmtId="0" fontId="60" fillId="3" borderId="0" xfId="0" applyFont="1" applyFill="1" applyAlignment="1">
      <alignment vertical="center" wrapText="1"/>
    </xf>
    <xf numFmtId="0" fontId="82" fillId="3" borderId="71" xfId="0" applyFont="1" applyFill="1" applyBorder="1" applyAlignment="1">
      <alignment horizontal="center" vertical="center"/>
    </xf>
    <xf numFmtId="0" fontId="82" fillId="3" borderId="70" xfId="0" applyFont="1" applyFill="1" applyBorder="1" applyAlignment="1">
      <alignment horizontal="center" vertical="center"/>
    </xf>
    <xf numFmtId="0" fontId="82" fillId="3" borderId="72" xfId="0" applyFont="1" applyFill="1" applyBorder="1" applyAlignment="1">
      <alignment horizontal="center" vertical="center"/>
    </xf>
    <xf numFmtId="175" fontId="152" fillId="3" borderId="63" xfId="139" applyNumberFormat="1" applyFont="1" applyFill="1" applyBorder="1" applyAlignment="1">
      <alignment horizontal="center" vertical="center"/>
    </xf>
    <xf numFmtId="0" fontId="62" fillId="3" borderId="73" xfId="0" applyFont="1" applyFill="1" applyBorder="1" applyAlignment="1">
      <alignment horizontal="center" vertical="center" wrapText="1"/>
    </xf>
    <xf numFmtId="0" fontId="62" fillId="3" borderId="63" xfId="0" applyFont="1" applyFill="1" applyBorder="1" applyAlignment="1">
      <alignment horizontal="left" vertical="center" wrapText="1"/>
    </xf>
    <xf numFmtId="0" fontId="62" fillId="3" borderId="63" xfId="0" applyFont="1" applyFill="1" applyBorder="1" applyAlignment="1">
      <alignment horizontal="center" vertical="center" wrapText="1"/>
    </xf>
    <xf numFmtId="0" fontId="62" fillId="3" borderId="66" xfId="0" applyFont="1" applyFill="1" applyBorder="1" applyAlignment="1">
      <alignment horizontal="center" vertical="center" wrapText="1"/>
    </xf>
    <xf numFmtId="0" fontId="82" fillId="3" borderId="0" xfId="0" applyFont="1" applyFill="1" applyAlignment="1">
      <alignment horizontal="center" vertical="center"/>
    </xf>
    <xf numFmtId="0" fontId="60" fillId="3" borderId="0" xfId="0" applyFont="1" applyFill="1" applyAlignment="1"/>
    <xf numFmtId="0" fontId="60" fillId="3" borderId="0" xfId="0" applyFont="1" applyFill="1" applyAlignment="1">
      <alignment horizontal="left"/>
    </xf>
    <xf numFmtId="0" fontId="82" fillId="3" borderId="70" xfId="0" applyFont="1" applyFill="1" applyBorder="1" applyAlignment="1">
      <alignment horizontal="left" vertical="center"/>
    </xf>
    <xf numFmtId="0" fontId="82" fillId="3" borderId="68" xfId="0" applyFont="1" applyFill="1" applyBorder="1" applyAlignment="1">
      <alignment horizontal="left" vertical="center"/>
    </xf>
    <xf numFmtId="0" fontId="82" fillId="2" borderId="73" xfId="0" applyFont="1" applyFill="1" applyBorder="1" applyAlignment="1">
      <alignment horizontal="center" vertical="center"/>
    </xf>
    <xf numFmtId="0" fontId="82" fillId="2" borderId="63" xfId="0" applyFont="1" applyFill="1" applyBorder="1" applyAlignment="1">
      <alignment horizontal="left" vertical="center"/>
    </xf>
    <xf numFmtId="175" fontId="82" fillId="2" borderId="63" xfId="139" applyNumberFormat="1" applyFont="1" applyFill="1" applyBorder="1" applyAlignment="1">
      <alignment horizontal="center" vertical="center"/>
    </xf>
    <xf numFmtId="0" fontId="82" fillId="2" borderId="63" xfId="0" applyFont="1" applyFill="1" applyBorder="1" applyAlignment="1">
      <alignment horizontal="center" vertical="center"/>
    </xf>
    <xf numFmtId="0" fontId="82" fillId="3" borderId="0" xfId="0" applyFont="1" applyFill="1" applyAlignment="1"/>
    <xf numFmtId="0" fontId="82" fillId="3" borderId="63" xfId="0" applyFont="1" applyFill="1" applyBorder="1" applyAlignment="1"/>
    <xf numFmtId="0" fontId="82" fillId="3" borderId="67" xfId="0" applyFont="1" applyFill="1" applyBorder="1" applyAlignment="1"/>
    <xf numFmtId="0" fontId="82" fillId="3" borderId="68" xfId="0" applyFont="1" applyFill="1" applyBorder="1" applyAlignment="1"/>
    <xf numFmtId="0" fontId="82" fillId="3" borderId="69" xfId="0" applyFont="1" applyFill="1" applyBorder="1" applyAlignment="1"/>
    <xf numFmtId="0" fontId="112" fillId="60" borderId="64" xfId="0" applyFont="1" applyFill="1" applyBorder="1" applyAlignment="1">
      <alignment horizontal="center"/>
    </xf>
    <xf numFmtId="0" fontId="112" fillId="60" borderId="62" xfId="0" applyFont="1" applyFill="1" applyBorder="1" applyAlignment="1">
      <alignment horizontal="center"/>
    </xf>
    <xf numFmtId="0" fontId="112" fillId="60" borderId="65" xfId="0" applyFont="1" applyFill="1" applyBorder="1" applyAlignment="1">
      <alignment horizontal="center"/>
    </xf>
    <xf numFmtId="0" fontId="62" fillId="3" borderId="73" xfId="0" applyFont="1" applyFill="1" applyBorder="1" applyAlignment="1">
      <alignment horizontal="center" vertical="center" wrapText="1"/>
    </xf>
    <xf numFmtId="0" fontId="62" fillId="3" borderId="63" xfId="0" applyFont="1" applyFill="1" applyBorder="1" applyAlignment="1">
      <alignment horizontal="left" vertical="center" wrapText="1"/>
    </xf>
    <xf numFmtId="0" fontId="62" fillId="3" borderId="63" xfId="0" applyFont="1" applyFill="1" applyBorder="1" applyAlignment="1">
      <alignment horizontal="center" vertical="center" wrapText="1"/>
    </xf>
    <xf numFmtId="0" fontId="62" fillId="3" borderId="66" xfId="0" applyFont="1" applyFill="1" applyBorder="1" applyAlignment="1">
      <alignment horizontal="center" vertical="center" wrapText="1"/>
    </xf>
    <xf numFmtId="169" fontId="82" fillId="3" borderId="0" xfId="139" applyFont="1" applyFill="1"/>
  </cellXfs>
  <cellStyles count="52411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3" xfId="268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389"/>
    <cellStyle name="Normal 153" xfId="52399"/>
    <cellStyle name="Normal 154" xfId="52392"/>
    <cellStyle name="Normal 155" xfId="52400"/>
    <cellStyle name="Normal 156" xfId="52402"/>
    <cellStyle name="Normal 157" xfId="52403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7 2" xfId="52398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395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2 2" xfId="52410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4" xfId="151"/>
    <cellStyle name="Normal 2 5" xfId="328"/>
    <cellStyle name="Normal 2 6" xfId="446"/>
    <cellStyle name="Normal 2 6 2" xfId="5240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1" xfId="170"/>
    <cellStyle name="Normal 21 2" xfId="3157"/>
    <cellStyle name="Normal 21 2 2" xfId="20640"/>
    <cellStyle name="Normal 21 3" xfId="18890"/>
    <cellStyle name="Normal 22" xfId="183"/>
    <cellStyle name="Normal 22 2" xfId="3165"/>
    <cellStyle name="Normal 22 2 2" xfId="20648"/>
    <cellStyle name="Normal 22 3" xfId="18901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3" xfId="3251"/>
    <cellStyle name="Normal 3 3 2 3 2" xfId="20734"/>
    <cellStyle name="Normal 3 3 2 4" xfId="18996"/>
    <cellStyle name="Normal 3 3 3" xfId="332"/>
    <cellStyle name="Normal 3 3 3 2" xfId="3250"/>
    <cellStyle name="Normal 3 3 3 2 2" xfId="20733"/>
    <cellStyle name="Normal 3 3 3 3" xfId="18995"/>
    <cellStyle name="Normal 3 3 4" xfId="449"/>
    <cellStyle name="Normal 3 3 4 2" xfId="3267"/>
    <cellStyle name="Normal 3 3 4 2 2" xfId="20750"/>
    <cellStyle name="Normal 3 3 4 3" xfId="19034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3" xfId="334"/>
    <cellStyle name="Normal 3 5" xfId="199"/>
    <cellStyle name="Normal 3 5 2" xfId="3177"/>
    <cellStyle name="Normal 3 5 2 2" xfId="20660"/>
    <cellStyle name="Normal 3 5 3" xfId="18914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4" xfId="192"/>
    <cellStyle name="Normal 30 4 2" xfId="3172"/>
    <cellStyle name="Normal 30 4 2 2" xfId="20655"/>
    <cellStyle name="Normal 30 4 3" xfId="18910"/>
    <cellStyle name="Normal 30 5" xfId="3158"/>
    <cellStyle name="Normal 30 5 2" xfId="20641"/>
    <cellStyle name="Normal 30 6" xfId="18891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3" xfId="3160"/>
    <cellStyle name="Normal 31 3 2" xfId="20643"/>
    <cellStyle name="Normal 31 4" xfId="18892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 2" xfId="52408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32" xfId="52396"/>
    <cellStyle name="Normal 4 33" xfId="52401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2" xfId="52394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3 2" xfId="52397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2" xfId="2235"/>
    <cellStyle name="Nota 5 2 2" xfId="4737"/>
    <cellStyle name="Nota 5 2 2 2" xfId="22220"/>
    <cellStyle name="Nota 5 2 3" xfId="20194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2" xfId="2236"/>
    <cellStyle name="Nota 6 2 2" xfId="4738"/>
    <cellStyle name="Nota 6 2 2 2" xfId="22221"/>
    <cellStyle name="Nota 6 2 3" xfId="20195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0 4" xfId="52393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3" xfId="451"/>
    <cellStyle name="Separador de milhares 2 4 3 2" xfId="19036"/>
    <cellStyle name="Separador de milhares 2 4 4" xfId="466"/>
    <cellStyle name="Separador de milhares 2 4 5" xfId="18897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3" xfId="3145"/>
    <cellStyle name="Separador de milhares 26 3 2" xfId="20628"/>
    <cellStyle name="Separador de milhares 26 4" xfId="1887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5" xfId="452"/>
    <cellStyle name="Separador de milhares 5 2 5 2" xfId="19037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4" xfId="406"/>
    <cellStyle name="Separador de milhares 8 4 2" xfId="19017"/>
    <cellStyle name="Separador de milhares 8 5" xfId="407"/>
    <cellStyle name="Separador de milhares 8 5 2" xfId="19018"/>
    <cellStyle name="Separador de milhares 8 6" xfId="403"/>
    <cellStyle name="Separador de milhares 8 6 2" xfId="19014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3" xfId="421"/>
    <cellStyle name="Título 3 3 2" xfId="454"/>
    <cellStyle name="Título 3 4" xfId="422"/>
    <cellStyle name="Título 3 4 2" xfId="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1" xfId="52196"/>
    <cellStyle name="Vírgula 11 2" xfId="52409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39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9" xfId="52198"/>
    <cellStyle name="Vírgula 2 2 3" xfId="456"/>
    <cellStyle name="Vírgula 2 2 3 2" xfId="19038"/>
    <cellStyle name="Vírgula 2 3" xfId="435"/>
    <cellStyle name="Vírgula 2 3 2" xfId="19022"/>
    <cellStyle name="Vírgula 2 4" xfId="36300"/>
    <cellStyle name="Vírgula 20" xfId="52388"/>
    <cellStyle name="Vírgula 21" xfId="52404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2" xfId="36285"/>
    <cellStyle name="Vírgula 3 2 3" xfId="457"/>
    <cellStyle name="Vírgula 3 2 3 2" xfId="19039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2 4" xfId="52405"/>
    <cellStyle name="Vírgula 4 2 3" xfId="3164"/>
    <cellStyle name="Vírgula 4 2 3 2" xfId="20647"/>
    <cellStyle name="Vírgula 4 2 4" xfId="18900"/>
    <cellStyle name="Vírgula 4 2 5" xfId="52407"/>
    <cellStyle name="Vírgula 4 3" xfId="439"/>
    <cellStyle name="Vírgula 4 3 2" xfId="3262"/>
    <cellStyle name="Vírgula 4 3 2 2" xfId="20745"/>
    <cellStyle name="Vírgula 4 3 3" xfId="19026"/>
    <cellStyle name="Vírgula 4 4" xfId="458"/>
    <cellStyle name="Vírgula 4 4 2" xfId="3269"/>
    <cellStyle name="Vírgula 4 4 2 2" xfId="20752"/>
    <cellStyle name="Vírgula 4 4 3" xfId="19040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0"/>
    <cellStyle name="Vírgula 5" xfId="184"/>
    <cellStyle name="Vírgula 5 2" xfId="3166"/>
    <cellStyle name="Vírgula 5 2 2" xfId="20649"/>
    <cellStyle name="Vírgula 5 3" xfId="18902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7" xfId="195"/>
    <cellStyle name="Vírgula 7 2" xfId="176"/>
    <cellStyle name="Vírgula 7 2 2" xfId="18895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0"/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1">
    <tabColor theme="0" tint="-0.249977111117893"/>
  </sheetPr>
  <dimension ref="B1:I36"/>
  <sheetViews>
    <sheetView tabSelected="1" view="pageBreakPreview" zoomScale="85" zoomScaleNormal="100" zoomScaleSheetLayoutView="85" workbookViewId="0">
      <selection activeCell="C44" sqref="C44"/>
    </sheetView>
  </sheetViews>
  <sheetFormatPr defaultColWidth="9.140625" defaultRowHeight="12.75"/>
  <cols>
    <col min="1" max="1" width="1.7109375" style="40" customWidth="1"/>
    <col min="2" max="2" width="18.7109375" style="40" customWidth="1"/>
    <col min="3" max="3" width="98.5703125" style="41" bestFit="1" customWidth="1"/>
    <col min="4" max="4" width="18.5703125" style="40" bestFit="1" customWidth="1"/>
    <col min="5" max="5" width="4.7109375" style="3" bestFit="1" customWidth="1"/>
    <col min="6" max="6" width="13.7109375" style="40" bestFit="1" customWidth="1"/>
    <col min="7" max="8" width="16.42578125" style="40" bestFit="1" customWidth="1"/>
    <col min="9" max="9" width="12.28515625" style="3" bestFit="1" customWidth="1"/>
    <col min="10" max="10" width="2.42578125" style="40" customWidth="1"/>
    <col min="11" max="11" width="16.42578125" style="40" customWidth="1"/>
    <col min="12" max="16384" width="9.140625" style="40"/>
  </cols>
  <sheetData>
    <row r="1" spans="2:9" ht="13.5" thickBot="1"/>
    <row r="2" spans="2:9" ht="21" thickTop="1">
      <c r="B2" s="53" t="s">
        <v>49</v>
      </c>
      <c r="C2" s="54"/>
      <c r="D2" s="54"/>
      <c r="E2" s="54"/>
      <c r="F2" s="54"/>
      <c r="G2" s="54"/>
      <c r="H2" s="54"/>
      <c r="I2" s="55"/>
    </row>
    <row r="3" spans="2:9" s="30" customFormat="1" ht="47.25">
      <c r="B3" s="35" t="s">
        <v>0</v>
      </c>
      <c r="C3" s="36" t="s">
        <v>4</v>
      </c>
      <c r="D3" s="37" t="s">
        <v>6</v>
      </c>
      <c r="E3" s="37" t="s">
        <v>3</v>
      </c>
      <c r="F3" s="37" t="s">
        <v>9</v>
      </c>
      <c r="G3" s="37" t="s">
        <v>10</v>
      </c>
      <c r="H3" s="37" t="s">
        <v>11</v>
      </c>
      <c r="I3" s="38" t="s">
        <v>12</v>
      </c>
    </row>
    <row r="4" spans="2:9" s="4" customFormat="1" ht="15.75">
      <c r="B4" s="9"/>
      <c r="C4" s="6" t="s">
        <v>7</v>
      </c>
      <c r="D4" s="10"/>
      <c r="E4" s="10"/>
      <c r="F4" s="11"/>
      <c r="G4" s="11"/>
      <c r="H4" s="11"/>
      <c r="I4" s="12"/>
    </row>
    <row r="5" spans="2:9" ht="15">
      <c r="B5" s="44"/>
      <c r="C5" s="45"/>
      <c r="D5" s="46"/>
      <c r="E5" s="47"/>
      <c r="F5" s="46"/>
      <c r="G5" s="2" t="e">
        <f>TRUNC(D5/F5,3)</f>
        <v>#DIV/0!</v>
      </c>
      <c r="H5" s="2">
        <f>IF(OR(I5=3,I5=17),G5,0)</f>
        <v>0</v>
      </c>
      <c r="I5" s="12"/>
    </row>
    <row r="6" spans="2:9" ht="15">
      <c r="B6" s="44"/>
      <c r="C6" s="45"/>
      <c r="D6" s="46"/>
      <c r="E6" s="47"/>
      <c r="F6" s="46"/>
      <c r="G6" s="2" t="e">
        <f t="shared" ref="G6:G16" si="0">TRUNC(D6/F6,3)</f>
        <v>#DIV/0!</v>
      </c>
      <c r="H6" s="2">
        <f t="shared" ref="H6:H16" si="1">IF(OR(I6=3,I6=17),G6,0)</f>
        <v>0</v>
      </c>
      <c r="I6" s="12"/>
    </row>
    <row r="7" spans="2:9" ht="15">
      <c r="B7" s="44"/>
      <c r="C7" s="45"/>
      <c r="D7" s="46"/>
      <c r="E7" s="47"/>
      <c r="F7" s="46"/>
      <c r="G7" s="2" t="e">
        <f t="shared" si="0"/>
        <v>#DIV/0!</v>
      </c>
      <c r="H7" s="2">
        <f t="shared" si="1"/>
        <v>0</v>
      </c>
      <c r="I7" s="12"/>
    </row>
    <row r="8" spans="2:9" ht="15">
      <c r="B8" s="44"/>
      <c r="C8" s="45"/>
      <c r="D8" s="46"/>
      <c r="E8" s="47"/>
      <c r="F8" s="46"/>
      <c r="G8" s="2" t="e">
        <f t="shared" si="0"/>
        <v>#DIV/0!</v>
      </c>
      <c r="H8" s="2">
        <f t="shared" si="1"/>
        <v>0</v>
      </c>
      <c r="I8" s="12"/>
    </row>
    <row r="9" spans="2:9" ht="15">
      <c r="B9" s="44"/>
      <c r="C9" s="45"/>
      <c r="D9" s="46"/>
      <c r="E9" s="47"/>
      <c r="F9" s="46"/>
      <c r="G9" s="2" t="e">
        <f t="shared" si="0"/>
        <v>#DIV/0!</v>
      </c>
      <c r="H9" s="2">
        <f t="shared" si="1"/>
        <v>0</v>
      </c>
      <c r="I9" s="12"/>
    </row>
    <row r="10" spans="2:9" ht="15">
      <c r="B10" s="44"/>
      <c r="C10" s="45"/>
      <c r="D10" s="46"/>
      <c r="E10" s="47"/>
      <c r="F10" s="46"/>
      <c r="G10" s="2" t="e">
        <f t="shared" si="0"/>
        <v>#DIV/0!</v>
      </c>
      <c r="H10" s="2">
        <f t="shared" si="1"/>
        <v>0</v>
      </c>
      <c r="I10" s="12"/>
    </row>
    <row r="11" spans="2:9" ht="15">
      <c r="B11" s="44"/>
      <c r="C11" s="45"/>
      <c r="D11" s="46"/>
      <c r="E11" s="47"/>
      <c r="F11" s="46"/>
      <c r="G11" s="2" t="e">
        <f t="shared" si="0"/>
        <v>#DIV/0!</v>
      </c>
      <c r="H11" s="2">
        <f t="shared" si="1"/>
        <v>0</v>
      </c>
      <c r="I11" s="12"/>
    </row>
    <row r="12" spans="2:9" ht="15">
      <c r="B12" s="44"/>
      <c r="C12" s="45"/>
      <c r="D12" s="46"/>
      <c r="E12" s="47"/>
      <c r="F12" s="46"/>
      <c r="G12" s="2" t="e">
        <f t="shared" si="0"/>
        <v>#DIV/0!</v>
      </c>
      <c r="H12" s="2">
        <f t="shared" si="1"/>
        <v>0</v>
      </c>
      <c r="I12" s="12"/>
    </row>
    <row r="13" spans="2:9" ht="15">
      <c r="B13" s="44"/>
      <c r="C13" s="45"/>
      <c r="D13" s="46"/>
      <c r="E13" s="47"/>
      <c r="F13" s="46"/>
      <c r="G13" s="2" t="e">
        <f t="shared" si="0"/>
        <v>#DIV/0!</v>
      </c>
      <c r="H13" s="2">
        <f t="shared" si="1"/>
        <v>0</v>
      </c>
      <c r="I13" s="12"/>
    </row>
    <row r="14" spans="2:9" ht="15">
      <c r="B14" s="44"/>
      <c r="C14" s="45"/>
      <c r="D14" s="46"/>
      <c r="E14" s="47"/>
      <c r="F14" s="46"/>
      <c r="G14" s="2" t="e">
        <f t="shared" si="0"/>
        <v>#DIV/0!</v>
      </c>
      <c r="H14" s="2">
        <f t="shared" si="1"/>
        <v>0</v>
      </c>
      <c r="I14" s="12"/>
    </row>
    <row r="15" spans="2:9" ht="15">
      <c r="B15" s="44"/>
      <c r="C15" s="45"/>
      <c r="D15" s="46"/>
      <c r="E15" s="47"/>
      <c r="F15" s="46"/>
      <c r="G15" s="2" t="e">
        <f t="shared" ref="G15" si="2">TRUNC(D15/F15,3)</f>
        <v>#DIV/0!</v>
      </c>
      <c r="H15" s="2">
        <f t="shared" si="1"/>
        <v>0</v>
      </c>
      <c r="I15" s="12"/>
    </row>
    <row r="16" spans="2:9" ht="15">
      <c r="B16" s="44"/>
      <c r="C16" s="45"/>
      <c r="D16" s="46"/>
      <c r="E16" s="47"/>
      <c r="F16" s="46"/>
      <c r="G16" s="2" t="e">
        <f t="shared" si="0"/>
        <v>#DIV/0!</v>
      </c>
      <c r="H16" s="2">
        <f t="shared" si="1"/>
        <v>0</v>
      </c>
      <c r="I16" s="12"/>
    </row>
    <row r="17" spans="2:9" ht="15">
      <c r="B17" s="44"/>
      <c r="C17" s="45"/>
      <c r="D17" s="46"/>
      <c r="E17" s="47"/>
      <c r="F17" s="46"/>
      <c r="G17" s="2" t="e">
        <f>TRUNC(D17/F17,3)</f>
        <v>#DIV/0!</v>
      </c>
      <c r="H17" s="2">
        <f>IF(OR(I17=3,I17=17),G17,0)</f>
        <v>0</v>
      </c>
      <c r="I17" s="12"/>
    </row>
    <row r="18" spans="2:9" s="4" customFormat="1" ht="15">
      <c r="B18" s="9"/>
      <c r="C18" s="16"/>
      <c r="D18" s="10"/>
      <c r="E18" s="10"/>
      <c r="F18" s="10"/>
      <c r="G18" s="10"/>
      <c r="H18" s="10"/>
      <c r="I18" s="12"/>
    </row>
    <row r="19" spans="2:9" s="4" customFormat="1" ht="15.75">
      <c r="B19" s="9"/>
      <c r="C19" s="6" t="s">
        <v>48</v>
      </c>
      <c r="D19" s="10"/>
      <c r="E19" s="10"/>
      <c r="F19" s="10"/>
      <c r="G19" s="10"/>
      <c r="H19" s="10"/>
      <c r="I19" s="12"/>
    </row>
    <row r="20" spans="2:9" ht="15">
      <c r="B20" s="44"/>
      <c r="C20" s="45"/>
      <c r="D20" s="46"/>
      <c r="E20" s="47"/>
      <c r="F20" s="46"/>
      <c r="G20" s="2" t="e">
        <f t="shared" ref="G20:G28" si="3">TRUNC(D20/F20,3)</f>
        <v>#DIV/0!</v>
      </c>
      <c r="H20" s="2">
        <f t="shared" ref="H20:H28" si="4">IF(OR(I20=3,I20=17),G20,0)</f>
        <v>0</v>
      </c>
      <c r="I20" s="12"/>
    </row>
    <row r="21" spans="2:9" ht="15">
      <c r="B21" s="44"/>
      <c r="C21" s="45"/>
      <c r="D21" s="46"/>
      <c r="E21" s="47"/>
      <c r="F21" s="46"/>
      <c r="G21" s="2" t="e">
        <f t="shared" si="3"/>
        <v>#DIV/0!</v>
      </c>
      <c r="H21" s="2">
        <f t="shared" si="4"/>
        <v>0</v>
      </c>
      <c r="I21" s="12"/>
    </row>
    <row r="22" spans="2:9" ht="15">
      <c r="B22" s="44"/>
      <c r="C22" s="45"/>
      <c r="D22" s="46"/>
      <c r="E22" s="47"/>
      <c r="F22" s="46"/>
      <c r="G22" s="2" t="e">
        <f t="shared" si="3"/>
        <v>#DIV/0!</v>
      </c>
      <c r="H22" s="2">
        <f t="shared" si="4"/>
        <v>0</v>
      </c>
      <c r="I22" s="12"/>
    </row>
    <row r="23" spans="2:9" ht="15">
      <c r="B23" s="44"/>
      <c r="C23" s="45"/>
      <c r="D23" s="46"/>
      <c r="E23" s="47"/>
      <c r="F23" s="46"/>
      <c r="G23" s="2" t="e">
        <f t="shared" si="3"/>
        <v>#DIV/0!</v>
      </c>
      <c r="H23" s="2">
        <f t="shared" si="4"/>
        <v>0</v>
      </c>
      <c r="I23" s="12"/>
    </row>
    <row r="24" spans="2:9" ht="15">
      <c r="B24" s="44"/>
      <c r="C24" s="45"/>
      <c r="D24" s="46"/>
      <c r="E24" s="47"/>
      <c r="F24" s="46"/>
      <c r="G24" s="2" t="e">
        <f t="shared" si="3"/>
        <v>#DIV/0!</v>
      </c>
      <c r="H24" s="2">
        <f t="shared" si="4"/>
        <v>0</v>
      </c>
      <c r="I24" s="12"/>
    </row>
    <row r="25" spans="2:9" ht="15">
      <c r="B25" s="44"/>
      <c r="C25" s="45"/>
      <c r="D25" s="46"/>
      <c r="E25" s="47"/>
      <c r="F25" s="46"/>
      <c r="G25" s="2" t="e">
        <f t="shared" si="3"/>
        <v>#DIV/0!</v>
      </c>
      <c r="H25" s="2">
        <f t="shared" si="4"/>
        <v>0</v>
      </c>
      <c r="I25" s="12"/>
    </row>
    <row r="26" spans="2:9" ht="15">
      <c r="B26" s="44"/>
      <c r="C26" s="45"/>
      <c r="D26" s="46"/>
      <c r="E26" s="47"/>
      <c r="F26" s="46"/>
      <c r="G26" s="2" t="e">
        <f t="shared" si="3"/>
        <v>#DIV/0!</v>
      </c>
      <c r="H26" s="2">
        <f t="shared" si="4"/>
        <v>0</v>
      </c>
      <c r="I26" s="12"/>
    </row>
    <row r="27" spans="2:9" ht="15">
      <c r="B27" s="44"/>
      <c r="C27" s="45"/>
      <c r="D27" s="46"/>
      <c r="E27" s="47"/>
      <c r="F27" s="46"/>
      <c r="G27" s="2" t="e">
        <f t="shared" si="3"/>
        <v>#DIV/0!</v>
      </c>
      <c r="H27" s="2">
        <f t="shared" si="4"/>
        <v>0</v>
      </c>
      <c r="I27" s="12"/>
    </row>
    <row r="28" spans="2:9" ht="15">
      <c r="B28" s="44"/>
      <c r="C28" s="45"/>
      <c r="D28" s="46"/>
      <c r="E28" s="47"/>
      <c r="F28" s="46"/>
      <c r="G28" s="2" t="e">
        <f t="shared" si="3"/>
        <v>#DIV/0!</v>
      </c>
      <c r="H28" s="2">
        <f t="shared" si="4"/>
        <v>0</v>
      </c>
      <c r="I28" s="12"/>
    </row>
    <row r="29" spans="2:9" s="4" customFormat="1" ht="15">
      <c r="B29" s="9"/>
      <c r="C29" s="16"/>
      <c r="D29" s="10"/>
      <c r="E29" s="10"/>
      <c r="F29" s="10"/>
      <c r="G29" s="10"/>
      <c r="H29" s="10"/>
      <c r="I29" s="12"/>
    </row>
    <row r="30" spans="2:9" s="4" customFormat="1" ht="15.75">
      <c r="B30" s="9"/>
      <c r="C30" s="6" t="s">
        <v>8</v>
      </c>
      <c r="D30" s="10"/>
      <c r="E30" s="10"/>
      <c r="F30" s="10"/>
      <c r="G30" s="10"/>
      <c r="H30" s="10"/>
      <c r="I30" s="12"/>
    </row>
    <row r="31" spans="2:9" ht="15">
      <c r="B31" s="44"/>
      <c r="C31" s="45"/>
      <c r="D31" s="46"/>
      <c r="E31" s="47"/>
      <c r="F31" s="46"/>
      <c r="G31" s="2" t="e">
        <f t="shared" ref="G31" si="5">TRUNC(D31/F31,3)</f>
        <v>#DIV/0!</v>
      </c>
      <c r="H31" s="2">
        <f t="shared" ref="H31" si="6">IF(OR(I31=3,I31=17),G31,0)</f>
        <v>0</v>
      </c>
      <c r="I31" s="12"/>
    </row>
    <row r="32" spans="2:9" s="4" customFormat="1" ht="15">
      <c r="B32" s="31"/>
      <c r="C32" s="42"/>
      <c r="D32" s="32"/>
      <c r="E32" s="32"/>
      <c r="F32" s="32"/>
      <c r="G32" s="32"/>
      <c r="H32" s="32"/>
      <c r="I32" s="33"/>
    </row>
    <row r="33" spans="2:9" s="4" customFormat="1" ht="15.75">
      <c r="B33" s="9"/>
      <c r="C33" s="6" t="s">
        <v>46</v>
      </c>
      <c r="D33" s="10"/>
      <c r="E33" s="10"/>
      <c r="F33" s="10"/>
      <c r="G33" s="10"/>
      <c r="H33" s="10"/>
      <c r="I33" s="12"/>
    </row>
    <row r="34" spans="2:9" ht="15">
      <c r="B34" s="9" t="s">
        <v>47</v>
      </c>
      <c r="C34" s="16" t="s">
        <v>46</v>
      </c>
      <c r="D34" s="46"/>
      <c r="E34" s="10" t="s">
        <v>2</v>
      </c>
      <c r="F34" s="34">
        <v>15</v>
      </c>
      <c r="G34" s="2">
        <f>F34*D34</f>
        <v>0</v>
      </c>
      <c r="H34" s="2">
        <f t="shared" ref="H34" si="7">IF(OR(I34=3,I34=17),G34,0)</f>
        <v>0</v>
      </c>
      <c r="I34" s="12"/>
    </row>
    <row r="35" spans="2:9" s="4" customFormat="1" ht="15.75" thickBot="1">
      <c r="B35" s="17"/>
      <c r="C35" s="43"/>
      <c r="D35" s="18"/>
      <c r="E35" s="18"/>
      <c r="F35" s="19"/>
      <c r="G35" s="19"/>
      <c r="H35" s="19"/>
      <c r="I35" s="20"/>
    </row>
    <row r="36" spans="2:9" ht="13.5" thickTop="1"/>
  </sheetData>
  <sortState ref="B28:I39">
    <sortCondition ref="B39"/>
  </sortState>
  <mergeCells count="1">
    <mergeCell ref="B2:I2"/>
  </mergeCells>
  <printOptions horizontalCentered="1"/>
  <pageMargins left="0" right="0" top="0" bottom="0" header="0" footer="0"/>
  <pageSetup paperSize="9" scale="71" fitToHeight="100" orientation="landscape" r:id="rId1"/>
  <rowBreaks count="1" manualBreakCount="1">
    <brk id="32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2">
    <tabColor theme="0" tint="-0.249977111117893"/>
  </sheetPr>
  <dimension ref="B1:G9"/>
  <sheetViews>
    <sheetView view="pageBreakPreview" zoomScale="145" zoomScaleNormal="100" zoomScaleSheetLayoutView="145" workbookViewId="0">
      <selection activeCell="C12" sqref="C12"/>
    </sheetView>
  </sheetViews>
  <sheetFormatPr defaultColWidth="9.140625" defaultRowHeight="15"/>
  <cols>
    <col min="1" max="1" width="1.7109375" style="1" customWidth="1"/>
    <col min="2" max="2" width="18.5703125" style="1" customWidth="1"/>
    <col min="3" max="3" width="45.28515625" style="1" customWidth="1"/>
    <col min="4" max="4" width="15.5703125" style="21" bestFit="1" customWidth="1"/>
    <col min="5" max="5" width="15.5703125" style="1" bestFit="1" customWidth="1"/>
    <col min="6" max="6" width="23.7109375" style="1" customWidth="1"/>
    <col min="7" max="7" width="15.5703125" style="21" bestFit="1" customWidth="1"/>
    <col min="8" max="8" width="2.42578125" style="1" customWidth="1"/>
    <col min="9" max="9" width="16.42578125" style="1" customWidth="1"/>
    <col min="10" max="16384" width="9.140625" style="1"/>
  </cols>
  <sheetData>
    <row r="1" spans="2:7" ht="15.75" thickBot="1"/>
    <row r="2" spans="2:7" ht="21" thickTop="1">
      <c r="B2" s="53" t="s">
        <v>50</v>
      </c>
      <c r="C2" s="54"/>
      <c r="D2" s="54"/>
      <c r="E2" s="54"/>
      <c r="F2" s="54"/>
      <c r="G2" s="55"/>
    </row>
    <row r="3" spans="2:7" s="22" customFormat="1" ht="63">
      <c r="B3" s="5" t="s">
        <v>12</v>
      </c>
      <c r="C3" s="6" t="s">
        <v>4</v>
      </c>
      <c r="D3" s="7" t="s">
        <v>14</v>
      </c>
      <c r="E3" s="7" t="s">
        <v>32</v>
      </c>
      <c r="F3" s="7" t="s">
        <v>13</v>
      </c>
      <c r="G3" s="8" t="s">
        <v>15</v>
      </c>
    </row>
    <row r="4" spans="2:7">
      <c r="B4" s="13">
        <v>1</v>
      </c>
      <c r="C4" s="14" t="s">
        <v>16</v>
      </c>
      <c r="D4" s="23">
        <f>SUMIFS(DURACAO_SERVICOS!$G$4:$G$35,DURACAO_SERVICOS!$I$4:$I$35,B4)</f>
        <v>0</v>
      </c>
      <c r="E4" s="15">
        <f>D4/7.333</f>
        <v>0</v>
      </c>
      <c r="F4" s="24">
        <v>0</v>
      </c>
      <c r="G4" s="25">
        <f>TRUNC(D4*F4,3)</f>
        <v>0</v>
      </c>
    </row>
    <row r="5" spans="2:7">
      <c r="B5" s="13">
        <v>3</v>
      </c>
      <c r="C5" s="14" t="s">
        <v>17</v>
      </c>
      <c r="D5" s="23">
        <f>SUMIFS(DURACAO_SERVICOS!$G$4:$G$35,DURACAO_SERVICOS!$I$4:$I$35,B5)</f>
        <v>0</v>
      </c>
      <c r="E5" s="15">
        <f t="shared" ref="E5:E7" si="0">D5/7.333</f>
        <v>0</v>
      </c>
      <c r="F5" s="24">
        <v>4</v>
      </c>
      <c r="G5" s="25">
        <f t="shared" ref="G5:G6" si="1">TRUNC(D5*F5,3)</f>
        <v>0</v>
      </c>
    </row>
    <row r="6" spans="2:7">
      <c r="B6" s="13">
        <v>16</v>
      </c>
      <c r="C6" s="14" t="s">
        <v>18</v>
      </c>
      <c r="D6" s="23">
        <f>SUMIFS(DURACAO_SERVICOS!$G$4:$G$35,DURACAO_SERVICOS!$I$4:$I$35,B6)</f>
        <v>0</v>
      </c>
      <c r="E6" s="15">
        <f>D6/7.333</f>
        <v>0</v>
      </c>
      <c r="F6" s="24">
        <v>1</v>
      </c>
      <c r="G6" s="25">
        <f t="shared" si="1"/>
        <v>0</v>
      </c>
    </row>
    <row r="7" spans="2:7">
      <c r="B7" s="13">
        <v>17</v>
      </c>
      <c r="C7" s="14" t="s">
        <v>19</v>
      </c>
      <c r="D7" s="23">
        <f>SUMIFS(DURACAO_SERVICOS!$G$4:$G$35,DURACAO_SERVICOS!$I$4:$I$35,B7)</f>
        <v>0</v>
      </c>
      <c r="E7" s="15">
        <f t="shared" si="0"/>
        <v>0</v>
      </c>
      <c r="F7" s="24">
        <v>4</v>
      </c>
      <c r="G7" s="25">
        <f>TRUNC(D7*F7,3)</f>
        <v>0</v>
      </c>
    </row>
    <row r="8" spans="2:7" ht="16.5" thickBot="1">
      <c r="B8" s="26"/>
      <c r="C8" s="27"/>
      <c r="D8" s="27"/>
      <c r="E8" s="27"/>
      <c r="F8" s="27"/>
      <c r="G8" s="28"/>
    </row>
    <row r="9" spans="2:7" ht="15.75" thickTop="1"/>
  </sheetData>
  <mergeCells count="1">
    <mergeCell ref="B2:G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3">
    <tabColor theme="0" tint="-0.249977111117893"/>
    <pageSetUpPr fitToPage="1"/>
  </sheetPr>
  <dimension ref="B2:L35"/>
  <sheetViews>
    <sheetView view="pageBreakPreview" zoomScaleNormal="100" zoomScaleSheetLayoutView="100" workbookViewId="0">
      <selection activeCell="L13" sqref="L13"/>
    </sheetView>
  </sheetViews>
  <sheetFormatPr defaultColWidth="9.140625" defaultRowHeight="15"/>
  <cols>
    <col min="1" max="1" width="1.7109375" style="48" customWidth="1"/>
    <col min="2" max="2" width="19.7109375" style="48" customWidth="1"/>
    <col min="3" max="3" width="58" style="48" bestFit="1" customWidth="1"/>
    <col min="4" max="4" width="18.85546875" style="39" bestFit="1" customWidth="1"/>
    <col min="5" max="7" width="18.85546875" style="39" customWidth="1"/>
    <col min="8" max="8" width="18.85546875" style="48" customWidth="1"/>
    <col min="9" max="9" width="2" style="48" customWidth="1"/>
    <col min="10" max="10" width="9.140625" style="48"/>
    <col min="11" max="11" width="10.28515625" style="48" bestFit="1" customWidth="1"/>
    <col min="12" max="12" width="6" style="48" bestFit="1" customWidth="1"/>
    <col min="13" max="16384" width="9.140625" style="48"/>
  </cols>
  <sheetData>
    <row r="2" spans="2:12" ht="15.75" thickBot="1"/>
    <row r="3" spans="2:12" ht="21" thickTop="1">
      <c r="B3" s="53" t="s">
        <v>51</v>
      </c>
      <c r="C3" s="54"/>
      <c r="D3" s="54"/>
      <c r="E3" s="54"/>
      <c r="F3" s="54"/>
      <c r="G3" s="54"/>
      <c r="H3" s="55"/>
    </row>
    <row r="4" spans="2:12" s="22" customFormat="1" ht="26.25" customHeight="1">
      <c r="B4" s="56" t="s">
        <v>20</v>
      </c>
      <c r="C4" s="57" t="s">
        <v>4</v>
      </c>
      <c r="D4" s="58" t="s">
        <v>21</v>
      </c>
      <c r="E4" s="58"/>
      <c r="F4" s="58"/>
      <c r="G4" s="58"/>
      <c r="H4" s="59" t="s">
        <v>1</v>
      </c>
    </row>
    <row r="5" spans="2:12" ht="15.75">
      <c r="B5" s="56"/>
      <c r="C5" s="57"/>
      <c r="D5" s="37">
        <v>1</v>
      </c>
      <c r="E5" s="37">
        <v>3</v>
      </c>
      <c r="F5" s="37">
        <v>16</v>
      </c>
      <c r="G5" s="37">
        <v>17</v>
      </c>
      <c r="H5" s="59"/>
    </row>
    <row r="6" spans="2:12">
      <c r="B6" s="13" t="s">
        <v>5</v>
      </c>
      <c r="C6" s="49" t="s">
        <v>31</v>
      </c>
      <c r="D6" s="2">
        <f>ROUND(D24*TEMPO_PROJETO_TIPO!$E$4,0)</f>
        <v>0</v>
      </c>
      <c r="E6" s="2">
        <f>ROUND(E24*TEMPO_PROJETO_TIPO!$E$5,0)</f>
        <v>0</v>
      </c>
      <c r="F6" s="2">
        <f>ROUND(F24*TEMPO_PROJETO_TIPO!$E$6,0)</f>
        <v>0</v>
      </c>
      <c r="G6" s="2">
        <f>ROUND(G24*TEMPO_PROJETO_TIPO!$E$7,0)</f>
        <v>0</v>
      </c>
      <c r="H6" s="29">
        <f>SUM(D6:G6)</f>
        <v>0</v>
      </c>
      <c r="K6" s="1">
        <v>5212558</v>
      </c>
      <c r="L6" s="60">
        <f>H6</f>
        <v>0</v>
      </c>
    </row>
    <row r="7" spans="2:12">
      <c r="B7" s="13" t="s">
        <v>22</v>
      </c>
      <c r="C7" s="49" t="s">
        <v>33</v>
      </c>
      <c r="D7" s="2">
        <f>ROUND(D25*TEMPO_PROJETO_TIPO!$E$4,0)</f>
        <v>0</v>
      </c>
      <c r="E7" s="2">
        <f>ROUND(E25*TEMPO_PROJETO_TIPO!$E$5,0)</f>
        <v>0</v>
      </c>
      <c r="F7" s="2">
        <f>ROUND(F25*TEMPO_PROJETO_TIPO!$E$6,0)</f>
        <v>0</v>
      </c>
      <c r="G7" s="2">
        <f>ROUND(G25*TEMPO_PROJETO_TIPO!$E$7,0)</f>
        <v>0</v>
      </c>
      <c r="H7" s="29">
        <f t="shared" ref="H7:H17" si="0">SUM(D7:G7)</f>
        <v>0</v>
      </c>
      <c r="K7" s="1">
        <v>5212557</v>
      </c>
      <c r="L7" s="60">
        <f>H7+H8</f>
        <v>0</v>
      </c>
    </row>
    <row r="8" spans="2:12">
      <c r="B8" s="13" t="s">
        <v>23</v>
      </c>
      <c r="C8" s="49" t="s">
        <v>34</v>
      </c>
      <c r="D8" s="2">
        <f>ROUND(D26*TEMPO_PROJETO_TIPO!$E$4,0)</f>
        <v>0</v>
      </c>
      <c r="E8" s="2">
        <f>ROUND(E26*TEMPO_PROJETO_TIPO!$E$5,0)</f>
        <v>0</v>
      </c>
      <c r="F8" s="2">
        <f>ROUND(F26*TEMPO_PROJETO_TIPO!$E$6,0)</f>
        <v>0</v>
      </c>
      <c r="G8" s="2">
        <f>ROUND(G26*TEMPO_PROJETO_TIPO!$E$7,0)</f>
        <v>0</v>
      </c>
      <c r="H8" s="29">
        <f t="shared" si="0"/>
        <v>0</v>
      </c>
      <c r="K8" s="1">
        <v>5212560</v>
      </c>
      <c r="L8" s="60">
        <f>H9+H10+H11+H12</f>
        <v>0</v>
      </c>
    </row>
    <row r="9" spans="2:12">
      <c r="B9" s="13" t="s">
        <v>24</v>
      </c>
      <c r="C9" s="49" t="s">
        <v>35</v>
      </c>
      <c r="D9" s="2">
        <f>ROUND(D27*TEMPO_PROJETO_TIPO!$E$4,0)</f>
        <v>0</v>
      </c>
      <c r="E9" s="2">
        <f>ROUND(E27*TEMPO_PROJETO_TIPO!$E$5,0)</f>
        <v>0</v>
      </c>
      <c r="F9" s="2">
        <f>ROUND(F27*TEMPO_PROJETO_TIPO!$E$6,0)</f>
        <v>0</v>
      </c>
      <c r="G9" s="2">
        <f>ROUND(G27*TEMPO_PROJETO_TIPO!$E$7,0)</f>
        <v>0</v>
      </c>
      <c r="H9" s="29">
        <f t="shared" si="0"/>
        <v>0</v>
      </c>
      <c r="K9" s="1">
        <v>5212556</v>
      </c>
      <c r="L9" s="60">
        <f>H13+H14</f>
        <v>0</v>
      </c>
    </row>
    <row r="10" spans="2:12">
      <c r="B10" s="13" t="s">
        <v>25</v>
      </c>
      <c r="C10" s="49" t="s">
        <v>36</v>
      </c>
      <c r="D10" s="2">
        <f>ROUND(D28*TEMPO_PROJETO_TIPO!$E$4,0)</f>
        <v>0</v>
      </c>
      <c r="E10" s="2">
        <f>ROUND(E28*TEMPO_PROJETO_TIPO!$E$5,0)</f>
        <v>0</v>
      </c>
      <c r="F10" s="2">
        <f>ROUND(F28*TEMPO_PROJETO_TIPO!$E$6,0)</f>
        <v>0</v>
      </c>
      <c r="G10" s="2">
        <f>ROUND(G28*TEMPO_PROJETO_TIPO!$E$7,0)</f>
        <v>0</v>
      </c>
      <c r="H10" s="29">
        <f t="shared" si="0"/>
        <v>0</v>
      </c>
      <c r="K10" s="1">
        <v>5213835</v>
      </c>
      <c r="L10" s="60">
        <f>H15</f>
        <v>0</v>
      </c>
    </row>
    <row r="11" spans="2:12">
      <c r="B11" s="13" t="s">
        <v>26</v>
      </c>
      <c r="C11" s="49" t="s">
        <v>37</v>
      </c>
      <c r="D11" s="2">
        <f>ROUND(D29*TEMPO_PROJETO_TIPO!$E$4,0)</f>
        <v>0</v>
      </c>
      <c r="E11" s="2">
        <f>ROUND(E29*TEMPO_PROJETO_TIPO!$E$5,0)</f>
        <v>0</v>
      </c>
      <c r="F11" s="2">
        <f>ROUND(F29*TEMPO_PROJETO_TIPO!$E$6,0)</f>
        <v>0</v>
      </c>
      <c r="G11" s="2">
        <f>ROUND(G29*TEMPO_PROJETO_TIPO!$E$7,0)</f>
        <v>0</v>
      </c>
      <c r="H11" s="29">
        <f t="shared" si="0"/>
        <v>0</v>
      </c>
      <c r="K11" s="1">
        <v>5213838</v>
      </c>
      <c r="L11" s="60">
        <f>H16</f>
        <v>0</v>
      </c>
    </row>
    <row r="12" spans="2:12">
      <c r="B12" s="13" t="s">
        <v>27</v>
      </c>
      <c r="C12" s="49" t="s">
        <v>38</v>
      </c>
      <c r="D12" s="2">
        <f>ROUND(D30*TEMPO_PROJETO_TIPO!$E$4,0)</f>
        <v>0</v>
      </c>
      <c r="E12" s="2">
        <f>ROUND(E30*TEMPO_PROJETO_TIPO!$E$5,0)</f>
        <v>0</v>
      </c>
      <c r="F12" s="2">
        <f>ROUND(F30*TEMPO_PROJETO_TIPO!$E$6,0)</f>
        <v>0</v>
      </c>
      <c r="G12" s="2">
        <f>ROUND(G30*TEMPO_PROJETO_TIPO!$E$7,0)</f>
        <v>0</v>
      </c>
      <c r="H12" s="29">
        <f t="shared" si="0"/>
        <v>0</v>
      </c>
      <c r="K12" s="1">
        <v>5213383</v>
      </c>
      <c r="L12" s="60">
        <f>H17</f>
        <v>0</v>
      </c>
    </row>
    <row r="13" spans="2:12">
      <c r="B13" s="13" t="s">
        <v>28</v>
      </c>
      <c r="C13" s="49" t="s">
        <v>39</v>
      </c>
      <c r="D13" s="2">
        <f>ROUND(D31*TEMPO_PROJETO_TIPO!$E$4,0)</f>
        <v>0</v>
      </c>
      <c r="E13" s="2">
        <f>ROUND(E31*TEMPO_PROJETO_TIPO!$E$5,0)</f>
        <v>0</v>
      </c>
      <c r="F13" s="2">
        <f>ROUND(F31*TEMPO_PROJETO_TIPO!$E$6,0)</f>
        <v>0</v>
      </c>
      <c r="G13" s="2">
        <f>ROUND(G31*TEMPO_PROJETO_TIPO!$E$7,0)</f>
        <v>0</v>
      </c>
      <c r="H13" s="29">
        <f t="shared" si="0"/>
        <v>0</v>
      </c>
      <c r="K13" s="1">
        <v>5213850</v>
      </c>
      <c r="L13" s="60">
        <f>SUM(TEMPO_PROJETO_TIPO!G4:G7)</f>
        <v>0</v>
      </c>
    </row>
    <row r="14" spans="2:12">
      <c r="B14" s="13" t="s">
        <v>29</v>
      </c>
      <c r="C14" s="49" t="s">
        <v>40</v>
      </c>
      <c r="D14" s="2">
        <f>ROUND(D32*TEMPO_PROJETO_TIPO!$E$4,0)</f>
        <v>0</v>
      </c>
      <c r="E14" s="2">
        <f>ROUND(E32*TEMPO_PROJETO_TIPO!$E$5,0)</f>
        <v>0</v>
      </c>
      <c r="F14" s="2">
        <f>ROUND(F32*TEMPO_PROJETO_TIPO!$E$6,0)</f>
        <v>0</v>
      </c>
      <c r="G14" s="2">
        <f>ROUND(G32*TEMPO_PROJETO_TIPO!$E$7,0)</f>
        <v>0</v>
      </c>
      <c r="H14" s="29">
        <f t="shared" si="0"/>
        <v>0</v>
      </c>
    </row>
    <row r="15" spans="2:12">
      <c r="B15" s="13" t="s">
        <v>42</v>
      </c>
      <c r="C15" s="49" t="s">
        <v>44</v>
      </c>
      <c r="D15" s="2">
        <f>ROUND(D33*TEMPO_PROJETO_TIPO!$E$4,0)</f>
        <v>0</v>
      </c>
      <c r="E15" s="2">
        <f>ROUND(E33*TEMPO_PROJETO_TIPO!$E$5,0)</f>
        <v>0</v>
      </c>
      <c r="F15" s="2">
        <f>ROUND(F33*TEMPO_PROJETO_TIPO!$E$6,0)</f>
        <v>0</v>
      </c>
      <c r="G15" s="2">
        <f>ROUND(G33*TEMPO_PROJETO_TIPO!$E$7,0)</f>
        <v>0</v>
      </c>
      <c r="H15" s="29">
        <f t="shared" si="0"/>
        <v>0</v>
      </c>
    </row>
    <row r="16" spans="2:12">
      <c r="B16" s="13" t="s">
        <v>43</v>
      </c>
      <c r="C16" s="49" t="s">
        <v>45</v>
      </c>
      <c r="D16" s="2">
        <f>ROUND(D34*TEMPO_PROJETO_TIPO!$E$4,0)</f>
        <v>0</v>
      </c>
      <c r="E16" s="2">
        <f>ROUND(E34*TEMPO_PROJETO_TIPO!$E$5,0)</f>
        <v>0</v>
      </c>
      <c r="F16" s="2">
        <f>ROUND(F34*TEMPO_PROJETO_TIPO!$E$6,0)</f>
        <v>0</v>
      </c>
      <c r="G16" s="2">
        <f>ROUND(G34*TEMPO_PROJETO_TIPO!$E$7,0)</f>
        <v>0</v>
      </c>
      <c r="H16" s="29">
        <f t="shared" si="0"/>
        <v>0</v>
      </c>
    </row>
    <row r="17" spans="2:8">
      <c r="B17" s="13" t="s">
        <v>30</v>
      </c>
      <c r="C17" s="49" t="s">
        <v>41</v>
      </c>
      <c r="D17" s="2">
        <f>ROUND(D35*TEMPO_PROJETO_TIPO!$E$4,0)</f>
        <v>0</v>
      </c>
      <c r="E17" s="2">
        <f>ROUND(E35*TEMPO_PROJETO_TIPO!$E$5,0)</f>
        <v>0</v>
      </c>
      <c r="F17" s="2">
        <f>ROUND(F35*TEMPO_PROJETO_TIPO!$E$6,0)</f>
        <v>0</v>
      </c>
      <c r="G17" s="2">
        <f>ROUND(G35*TEMPO_PROJETO_TIPO!$E$7,0)</f>
        <v>0</v>
      </c>
      <c r="H17" s="29">
        <f t="shared" si="0"/>
        <v>0</v>
      </c>
    </row>
    <row r="18" spans="2:8" ht="15.75" thickBot="1">
      <c r="B18" s="50"/>
      <c r="C18" s="51"/>
      <c r="D18" s="18"/>
      <c r="E18" s="18"/>
      <c r="F18" s="18"/>
      <c r="G18" s="18"/>
      <c r="H18" s="52"/>
    </row>
    <row r="19" spans="2:8" ht="15.75" thickTop="1"/>
    <row r="24" spans="2:8">
      <c r="B24" s="48" t="s">
        <v>5</v>
      </c>
      <c r="C24" s="48" t="s">
        <v>31</v>
      </c>
      <c r="D24" s="39">
        <v>0</v>
      </c>
      <c r="E24" s="39">
        <v>4</v>
      </c>
      <c r="F24" s="39">
        <v>0</v>
      </c>
      <c r="G24" s="39">
        <v>4</v>
      </c>
    </row>
    <row r="25" spans="2:8">
      <c r="B25" s="48" t="s">
        <v>22</v>
      </c>
      <c r="C25" s="48" t="s">
        <v>33</v>
      </c>
      <c r="D25" s="39">
        <v>0</v>
      </c>
      <c r="E25" s="39">
        <v>4</v>
      </c>
      <c r="F25" s="39">
        <v>0</v>
      </c>
      <c r="G25" s="39">
        <v>0</v>
      </c>
    </row>
    <row r="26" spans="2:8">
      <c r="B26" s="48" t="s">
        <v>23</v>
      </c>
      <c r="C26" s="48" t="s">
        <v>34</v>
      </c>
      <c r="D26" s="39">
        <v>2</v>
      </c>
      <c r="E26" s="39">
        <v>6</v>
      </c>
      <c r="F26" s="39">
        <v>0</v>
      </c>
      <c r="G26" s="39">
        <v>4</v>
      </c>
    </row>
    <row r="27" spans="2:8">
      <c r="B27" s="48" t="s">
        <v>24</v>
      </c>
      <c r="C27" s="48" t="s">
        <v>35</v>
      </c>
      <c r="D27" s="39">
        <v>1</v>
      </c>
      <c r="E27" s="39">
        <v>0</v>
      </c>
      <c r="F27" s="39">
        <v>0</v>
      </c>
      <c r="G27" s="39">
        <v>0</v>
      </c>
    </row>
    <row r="28" spans="2:8">
      <c r="B28" s="48" t="s">
        <v>25</v>
      </c>
      <c r="C28" s="48" t="s">
        <v>36</v>
      </c>
      <c r="D28" s="39">
        <v>0</v>
      </c>
      <c r="E28" s="39">
        <v>2</v>
      </c>
      <c r="F28" s="39">
        <v>0</v>
      </c>
      <c r="G28" s="39">
        <v>2</v>
      </c>
    </row>
    <row r="29" spans="2:8">
      <c r="B29" s="48" t="s">
        <v>26</v>
      </c>
      <c r="C29" s="48" t="s">
        <v>37</v>
      </c>
      <c r="D29" s="39">
        <v>2</v>
      </c>
      <c r="E29" s="39">
        <v>4</v>
      </c>
      <c r="F29" s="39">
        <v>2</v>
      </c>
      <c r="G29" s="39">
        <v>2</v>
      </c>
    </row>
    <row r="30" spans="2:8">
      <c r="B30" s="48" t="s">
        <v>27</v>
      </c>
      <c r="C30" s="48" t="s">
        <v>38</v>
      </c>
      <c r="D30" s="39">
        <v>0</v>
      </c>
      <c r="E30" s="39">
        <v>1</v>
      </c>
      <c r="F30" s="39">
        <v>0</v>
      </c>
      <c r="G30" s="39">
        <v>0</v>
      </c>
    </row>
    <row r="31" spans="2:8">
      <c r="B31" s="48" t="s">
        <v>28</v>
      </c>
      <c r="C31" s="48" t="s">
        <v>39</v>
      </c>
      <c r="D31" s="39">
        <v>2</v>
      </c>
      <c r="E31" s="39">
        <v>2</v>
      </c>
      <c r="F31" s="39">
        <v>0</v>
      </c>
      <c r="G31" s="39">
        <v>0</v>
      </c>
    </row>
    <row r="32" spans="2:8">
      <c r="B32" s="48" t="s">
        <v>29</v>
      </c>
      <c r="C32" s="48" t="s">
        <v>40</v>
      </c>
      <c r="D32" s="39">
        <v>1</v>
      </c>
      <c r="E32" s="39">
        <v>0</v>
      </c>
      <c r="F32" s="39">
        <v>1</v>
      </c>
      <c r="G32" s="39">
        <v>0</v>
      </c>
    </row>
    <row r="33" spans="2:7">
      <c r="B33" s="48" t="s">
        <v>42</v>
      </c>
      <c r="C33" s="48" t="s">
        <v>44</v>
      </c>
      <c r="D33" s="39">
        <v>103</v>
      </c>
      <c r="E33" s="39">
        <v>148</v>
      </c>
      <c r="F33" s="39">
        <v>111</v>
      </c>
      <c r="G33" s="39">
        <v>82</v>
      </c>
    </row>
    <row r="34" spans="2:7">
      <c r="B34" s="48" t="s">
        <v>43</v>
      </c>
      <c r="C34" s="48" t="s">
        <v>45</v>
      </c>
      <c r="D34" s="39">
        <v>11</v>
      </c>
      <c r="E34" s="39">
        <v>16</v>
      </c>
      <c r="F34" s="39">
        <v>0</v>
      </c>
      <c r="G34" s="39">
        <v>0</v>
      </c>
    </row>
    <row r="35" spans="2:7">
      <c r="B35" s="48" t="s">
        <v>30</v>
      </c>
      <c r="C35" s="48" t="s">
        <v>41</v>
      </c>
      <c r="D35" s="39">
        <v>1</v>
      </c>
      <c r="E35" s="39">
        <v>6</v>
      </c>
      <c r="F35" s="39">
        <v>0</v>
      </c>
      <c r="G35" s="39">
        <v>3</v>
      </c>
    </row>
  </sheetData>
  <mergeCells count="5">
    <mergeCell ref="B3:H3"/>
    <mergeCell ref="B4:B5"/>
    <mergeCell ref="C4:C5"/>
    <mergeCell ref="D4:G4"/>
    <mergeCell ref="H4:H5"/>
  </mergeCells>
  <printOptions horizontalCentered="1"/>
  <pageMargins left="0" right="0" top="0" bottom="0" header="0" footer="0"/>
  <pageSetup paperSize="9" scale="8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B2:H15"/>
  <sheetViews>
    <sheetView view="pageBreakPreview" zoomScaleNormal="100" zoomScaleSheetLayoutView="100" workbookViewId="0">
      <selection activeCell="C11" sqref="C11"/>
    </sheetView>
  </sheetViews>
  <sheetFormatPr defaultColWidth="9.140625" defaultRowHeight="15"/>
  <cols>
    <col min="1" max="1" width="1.7109375" style="48" customWidth="1"/>
    <col min="2" max="2" width="19.7109375" style="48" customWidth="1"/>
    <col min="3" max="3" width="117.7109375" style="48" customWidth="1"/>
    <col min="4" max="4" width="18.85546875" style="48" customWidth="1"/>
    <col min="5" max="5" width="2" style="48" customWidth="1"/>
    <col min="6" max="6" width="9.140625" style="48"/>
    <col min="7" max="7" width="10.28515625" style="48" bestFit="1" customWidth="1"/>
    <col min="8" max="8" width="6" style="48" bestFit="1" customWidth="1"/>
    <col min="9" max="16384" width="9.140625" style="48"/>
  </cols>
  <sheetData>
    <row r="2" spans="2:8" ht="15.75" thickBot="1"/>
    <row r="3" spans="2:8" ht="21" thickTop="1">
      <c r="B3" s="53" t="s">
        <v>52</v>
      </c>
      <c r="C3" s="54"/>
      <c r="D3" s="55"/>
    </row>
    <row r="4" spans="2:8" s="22" customFormat="1" ht="26.25" customHeight="1">
      <c r="B4" s="56" t="s">
        <v>0</v>
      </c>
      <c r="C4" s="57" t="s">
        <v>4</v>
      </c>
      <c r="D4" s="59" t="s">
        <v>1</v>
      </c>
    </row>
    <row r="5" spans="2:8">
      <c r="B5" s="56"/>
      <c r="C5" s="57"/>
      <c r="D5" s="59"/>
    </row>
    <row r="6" spans="2:8">
      <c r="B6" s="13">
        <v>5212558</v>
      </c>
      <c r="C6" s="49" t="s">
        <v>53</v>
      </c>
      <c r="D6" s="29">
        <f>VLOOKUP(B6,UN_DIA!$K:$L,2,FALSE)</f>
        <v>0</v>
      </c>
      <c r="G6" s="1"/>
      <c r="H6" s="60"/>
    </row>
    <row r="7" spans="2:8">
      <c r="B7" s="13">
        <v>5212557</v>
      </c>
      <c r="C7" s="49" t="s">
        <v>54</v>
      </c>
      <c r="D7" s="29">
        <f>VLOOKUP(B7,UN_DIA!$K:$L,2,FALSE)</f>
        <v>0</v>
      </c>
      <c r="G7" s="1"/>
      <c r="H7" s="60"/>
    </row>
    <row r="8" spans="2:8">
      <c r="B8" s="13">
        <v>5212560</v>
      </c>
      <c r="C8" s="49" t="s">
        <v>55</v>
      </c>
      <c r="D8" s="29">
        <f>VLOOKUP(B8,UN_DIA!$K:$L,2,FALSE)</f>
        <v>0</v>
      </c>
      <c r="G8" s="1"/>
      <c r="H8" s="60"/>
    </row>
    <row r="9" spans="2:8">
      <c r="B9" s="13">
        <v>5212556</v>
      </c>
      <c r="C9" s="49" t="s">
        <v>56</v>
      </c>
      <c r="D9" s="29">
        <f>VLOOKUP(B9,UN_DIA!$K:$L,2,FALSE)</f>
        <v>0</v>
      </c>
      <c r="G9" s="1"/>
      <c r="H9" s="60"/>
    </row>
    <row r="10" spans="2:8">
      <c r="B10" s="13">
        <v>5213835</v>
      </c>
      <c r="C10" s="49" t="s">
        <v>57</v>
      </c>
      <c r="D10" s="29">
        <f>VLOOKUP(B10,UN_DIA!$K:$L,2,FALSE)</f>
        <v>0</v>
      </c>
      <c r="G10" s="1"/>
      <c r="H10" s="60"/>
    </row>
    <row r="11" spans="2:8">
      <c r="B11" s="13">
        <v>5213838</v>
      </c>
      <c r="C11" s="49" t="s">
        <v>58</v>
      </c>
      <c r="D11" s="29">
        <f>VLOOKUP(B11,UN_DIA!$K:$L,2,FALSE)</f>
        <v>0</v>
      </c>
      <c r="G11" s="1"/>
      <c r="H11" s="60"/>
    </row>
    <row r="12" spans="2:8">
      <c r="B12" s="13">
        <v>5213383</v>
      </c>
      <c r="C12" s="49" t="s">
        <v>59</v>
      </c>
      <c r="D12" s="29">
        <f>VLOOKUP(B12,UN_DIA!$K:$L,2,FALSE)</f>
        <v>0</v>
      </c>
      <c r="G12" s="1"/>
      <c r="H12" s="60"/>
    </row>
    <row r="13" spans="2:8">
      <c r="B13" s="13">
        <v>5213850</v>
      </c>
      <c r="C13" s="49" t="s">
        <v>60</v>
      </c>
      <c r="D13" s="29">
        <f>VLOOKUP(B13,UN_DIA!$K:$L,2,FALSE)</f>
        <v>0</v>
      </c>
      <c r="G13" s="1"/>
      <c r="H13" s="60"/>
    </row>
    <row r="14" spans="2:8" ht="15.75" thickBot="1">
      <c r="B14" s="50"/>
      <c r="C14" s="51"/>
      <c r="D14" s="52"/>
    </row>
    <row r="15" spans="2:8" ht="15.75" thickTop="1"/>
  </sheetData>
  <mergeCells count="4">
    <mergeCell ref="B3:D3"/>
    <mergeCell ref="B4:B5"/>
    <mergeCell ref="C4:C5"/>
    <mergeCell ref="D4:D5"/>
  </mergeCells>
  <printOptions horizontalCentered="1"/>
  <pageMargins left="0" right="0" top="0" bottom="0" header="0" footer="0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DURACAO_SERVICOS</vt:lpstr>
      <vt:lpstr>TEMPO_PROJETO_TIPO</vt:lpstr>
      <vt:lpstr>UN_DIA</vt:lpstr>
      <vt:lpstr>SERV_SIN</vt:lpstr>
      <vt:lpstr>DURACAO_SERVICOS!Area_de_impressao</vt:lpstr>
      <vt:lpstr>SERV_SIN!Area_de_impressao</vt:lpstr>
      <vt:lpstr>TEMPO_PROJETO_TIPO!Area_de_impressao</vt:lpstr>
      <vt:lpstr>UN_DIA!Area_de_impressao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2026-04-01T20:52:11Z</dcterms:modified>
</cp:coreProperties>
</file>