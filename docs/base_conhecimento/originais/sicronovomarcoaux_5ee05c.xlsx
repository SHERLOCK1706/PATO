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lucas\Documents\LUCAS\SERVICOS\PROPOSTA_PRECO_CE_50_2024_SINFRA\Auxilio\compor\"/>
    </mc:Choice>
  </mc:AlternateContent>
  <xr:revisionPtr revIDLastSave="0" documentId="13_ncr:1_{A622A0FD-46BD-4A88-9A96-E39AA1E300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_Comp Unit" sheetId="2" r:id="rId1"/>
  </sheets>
  <externalReferences>
    <externalReference r:id="rId2"/>
  </externalReferences>
  <definedNames>
    <definedName name="_xlnm.Print_Area" localSheetId="0">'Mod_Comp Unit'!$A$1:$K$77</definedName>
  </definedNames>
  <calcPr calcId="191029"/>
</workbook>
</file>

<file path=xl/calcChain.xml><?xml version="1.0" encoding="utf-8"?>
<calcChain xmlns="http://schemas.openxmlformats.org/spreadsheetml/2006/main">
  <c r="N10" i="2" l="1"/>
  <c r="N11" i="2"/>
  <c r="N12" i="2"/>
  <c r="N13" i="2"/>
  <c r="N14" i="2"/>
  <c r="N15" i="2"/>
  <c r="N16" i="2"/>
  <c r="N9" i="2"/>
  <c r="C29" i="2"/>
  <c r="M58" i="2"/>
  <c r="M59" i="2"/>
  <c r="M60" i="2"/>
  <c r="M61" i="2"/>
  <c r="M62" i="2"/>
  <c r="M63" i="2"/>
  <c r="M64" i="2"/>
  <c r="M57" i="2"/>
  <c r="M47" i="2"/>
  <c r="M48" i="2"/>
  <c r="M49" i="2"/>
  <c r="M50" i="2"/>
  <c r="M51" i="2"/>
  <c r="M52" i="2"/>
  <c r="M53" i="2"/>
  <c r="M46" i="2"/>
  <c r="M41" i="2"/>
  <c r="M34" i="2"/>
  <c r="J34" i="2" s="1"/>
  <c r="M35" i="2"/>
  <c r="M36" i="2"/>
  <c r="M37" i="2"/>
  <c r="M38" i="2"/>
  <c r="M39" i="2"/>
  <c r="M40" i="2"/>
  <c r="M42" i="2"/>
  <c r="M33" i="2"/>
  <c r="M21" i="2"/>
  <c r="M22" i="2"/>
  <c r="M23" i="2"/>
  <c r="M24" i="2"/>
  <c r="M25" i="2"/>
  <c r="M26" i="2"/>
  <c r="M27" i="2"/>
  <c r="M20" i="2"/>
  <c r="M10" i="2"/>
  <c r="M11" i="2"/>
  <c r="M12" i="2"/>
  <c r="M13" i="2"/>
  <c r="M14" i="2"/>
  <c r="M15" i="2"/>
  <c r="M16" i="2"/>
  <c r="M9" i="2"/>
  <c r="O6" i="2"/>
  <c r="L69" i="2"/>
  <c r="L70" i="2"/>
  <c r="L71" i="2"/>
  <c r="L72" i="2"/>
  <c r="L73" i="2"/>
  <c r="L74" i="2"/>
  <c r="L75" i="2"/>
  <c r="L68" i="2"/>
  <c r="L47" i="2"/>
  <c r="L58" i="2"/>
  <c r="L59" i="2"/>
  <c r="L60" i="2"/>
  <c r="L61" i="2"/>
  <c r="L62" i="2"/>
  <c r="L63" i="2"/>
  <c r="L64" i="2"/>
  <c r="L57" i="2"/>
  <c r="L53" i="2"/>
  <c r="L52" i="2"/>
  <c r="L51" i="2"/>
  <c r="L50" i="2"/>
  <c r="L49" i="2"/>
  <c r="L48" i="2"/>
  <c r="L46" i="2"/>
  <c r="L42" i="2"/>
  <c r="L41" i="2"/>
  <c r="L40" i="2"/>
  <c r="L39" i="2"/>
  <c r="L38" i="2"/>
  <c r="L37" i="2"/>
  <c r="L36" i="2"/>
  <c r="L35" i="2"/>
  <c r="L34" i="2"/>
  <c r="L33" i="2"/>
  <c r="L27" i="2"/>
  <c r="L26" i="2"/>
  <c r="L25" i="2"/>
  <c r="L24" i="2"/>
  <c r="L23" i="2"/>
  <c r="L22" i="2"/>
  <c r="L21" i="2"/>
  <c r="L20" i="2"/>
  <c r="L10" i="2"/>
  <c r="L11" i="2"/>
  <c r="L12" i="2"/>
  <c r="L13" i="2"/>
  <c r="L14" i="2"/>
  <c r="L15" i="2"/>
  <c r="L16" i="2"/>
  <c r="L9" i="2"/>
  <c r="J53" i="2" l="1"/>
  <c r="J49" i="2"/>
  <c r="J48" i="2"/>
  <c r="J50" i="2"/>
  <c r="J47" i="2"/>
  <c r="J52" i="2"/>
  <c r="J51" i="2"/>
  <c r="J46" i="2"/>
  <c r="J13" i="2"/>
  <c r="J12" i="2"/>
  <c r="I14" i="2"/>
  <c r="J11" i="2"/>
  <c r="K11" i="2" s="1"/>
  <c r="J23" i="2"/>
  <c r="K23" i="2" s="1"/>
  <c r="J42" i="2"/>
  <c r="K42" i="2" s="1"/>
  <c r="J25" i="2"/>
  <c r="K25" i="2" s="1"/>
  <c r="I11" i="2"/>
  <c r="J35" i="2"/>
  <c r="K35" i="2" s="1"/>
  <c r="J36" i="2"/>
  <c r="K36" i="2" s="1"/>
  <c r="J16" i="2"/>
  <c r="J10" i="2"/>
  <c r="I10" i="2"/>
  <c r="K34" i="2"/>
  <c r="J15" i="2"/>
  <c r="J9" i="2"/>
  <c r="J21" i="2"/>
  <c r="K21" i="2" s="1"/>
  <c r="J22" i="2"/>
  <c r="K22" i="2" s="1"/>
  <c r="J14" i="2"/>
  <c r="J60" i="2"/>
  <c r="K60" i="2" s="1"/>
  <c r="J58" i="2"/>
  <c r="K58" i="2" s="1"/>
  <c r="J63" i="2"/>
  <c r="K63" i="2" s="1"/>
  <c r="J62" i="2"/>
  <c r="K62" i="2" s="1"/>
  <c r="J59" i="2"/>
  <c r="K59" i="2" s="1"/>
  <c r="J64" i="2"/>
  <c r="K64" i="2" s="1"/>
  <c r="J61" i="2"/>
  <c r="K61" i="2" s="1"/>
  <c r="J57" i="2"/>
  <c r="K57" i="2" s="1"/>
  <c r="J37" i="2"/>
  <c r="K37" i="2" s="1"/>
  <c r="J38" i="2"/>
  <c r="K38" i="2" s="1"/>
  <c r="J39" i="2"/>
  <c r="K39" i="2" s="1"/>
  <c r="J40" i="2"/>
  <c r="K40" i="2" s="1"/>
  <c r="J41" i="2"/>
  <c r="K41" i="2" s="1"/>
  <c r="J33" i="2"/>
  <c r="K33" i="2" s="1"/>
  <c r="J24" i="2"/>
  <c r="K24" i="2" s="1"/>
  <c r="J26" i="2"/>
  <c r="K26" i="2" s="1"/>
  <c r="J27" i="2"/>
  <c r="K27" i="2" s="1"/>
  <c r="J20" i="2"/>
  <c r="K20" i="2" s="1"/>
  <c r="I15" i="2"/>
  <c r="I16" i="2"/>
  <c r="I9" i="2"/>
  <c r="I12" i="2"/>
  <c r="I13" i="2"/>
  <c r="K14" i="2" l="1"/>
  <c r="K13" i="2"/>
  <c r="K12" i="2"/>
  <c r="K10" i="2"/>
  <c r="K15" i="2"/>
  <c r="K9" i="2"/>
  <c r="K16" i="2"/>
  <c r="K65" i="2"/>
  <c r="K43" i="2"/>
  <c r="K28" i="2"/>
  <c r="K17" i="2" l="1"/>
  <c r="K29" i="2" s="1"/>
  <c r="K30" i="2" s="1"/>
  <c r="K49" i="2"/>
  <c r="K53" i="2"/>
  <c r="K52" i="2"/>
  <c r="K51" i="2"/>
  <c r="K50" i="2"/>
  <c r="K47" i="2"/>
  <c r="K46" i="2"/>
  <c r="K48" i="2"/>
  <c r="K54" i="2" l="1"/>
  <c r="K77" i="2" s="1"/>
  <c r="P6" i="2" s="1"/>
</calcChain>
</file>

<file path=xl/sharedStrings.xml><?xml version="1.0" encoding="utf-8"?>
<sst xmlns="http://schemas.openxmlformats.org/spreadsheetml/2006/main" count="57" uniqueCount="43">
  <si>
    <t>COMPOSIÇÃO DOS CUSTOS UNITÁRIOS DOS SERVIÇOS</t>
  </si>
  <si>
    <t>DESCRIÇÃO DO SERVIÇO:</t>
  </si>
  <si>
    <t>DATA BASE:</t>
  </si>
  <si>
    <t>UNIDADE:</t>
  </si>
  <si>
    <t>QUANT.</t>
  </si>
  <si>
    <t>UTILIZAÇÃO</t>
  </si>
  <si>
    <t>CUSTO OPERACIONAL</t>
  </si>
  <si>
    <t>IMPROD</t>
  </si>
  <si>
    <t>CUSTO HORÁRIO</t>
  </si>
  <si>
    <t>CUSTO UNITÁRIO</t>
  </si>
  <si>
    <t>UNIDADE</t>
  </si>
  <si>
    <t>CUSTO 
UNITÁRIO</t>
  </si>
  <si>
    <t>(T)</t>
  </si>
  <si>
    <t>(R )</t>
  </si>
  <si>
    <t>(P)</t>
  </si>
  <si>
    <t>DMT</t>
  </si>
  <si>
    <t>CUSTO 
HORÁRIO TOTAL</t>
  </si>
  <si>
    <t>OPERATIVA</t>
  </si>
  <si>
    <t>A - EQUIPAMENTOS</t>
  </si>
  <si>
    <t>B - MÃO DE OBRA</t>
  </si>
  <si>
    <t>C - MATERIAIS</t>
  </si>
  <si>
    <t>QUANTIDADE</t>
  </si>
  <si>
    <t>PREÇO UNITÁRIO</t>
  </si>
  <si>
    <t>CUSTO HORÁRIO TOTAL DE EQUIPAMENTOS</t>
  </si>
  <si>
    <t>CUSTO HORÁRIO TOTAL DE MÃO DE OBRA</t>
  </si>
  <si>
    <t>CUSTO HORÁRIO TOTAL DE EXECUÇÃO</t>
  </si>
  <si>
    <t>PRODUÇÃO DA EQUIPE</t>
  </si>
  <si>
    <t>CUSTO UNITÁRIO DE EXECUÇÃO</t>
  </si>
  <si>
    <t>CUSTO UNITÁRIO TOTAL DE MATERIAL</t>
  </si>
  <si>
    <t>CUSTO UNITÁRIO TOTAL DE TRANSPORTE</t>
  </si>
  <si>
    <t>D - ATIVIDADES AUXILIARES</t>
  </si>
  <si>
    <t>CUSTO TOTAL DE ATIVIDADES AUXILIARES</t>
  </si>
  <si>
    <t>Quantidade</t>
  </si>
  <si>
    <t>F - TRANSPORTES</t>
  </si>
  <si>
    <t>E -TEMPO FIXO</t>
  </si>
  <si>
    <t>CUSTO UNITÁRIO TOTAL DE TEMPO FIXO</t>
  </si>
  <si>
    <t>Custo</t>
  </si>
  <si>
    <t>Unid.</t>
  </si>
  <si>
    <t>OPERATIVO</t>
  </si>
  <si>
    <t>CÓDIGO:</t>
  </si>
  <si>
    <t>(R)</t>
  </si>
  <si>
    <t>CUSTO UNITÁRIO TOTAL:</t>
  </si>
  <si>
    <t>JAN/2024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</si>
</sst>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######0.000000"/>
    <numFmt numFmtId="166" formatCode="###,###,##0.00"/>
    <numFmt numFmtId="167" formatCode="#,###,##0.000"/>
    <numFmt numFmtId="168" formatCode="####0.000000"/>
    <numFmt numFmtId="169" formatCode="#,##0.00000"/>
    <numFmt numFmtId="170" formatCode="#,##0.0000"/>
    <numFmt numFmtId="171" formatCode="_(* #,##0.0000_);_(* \(#,##0.0000\);_(* &quot;-&quot;??_);_(@_)"/>
    <numFmt numFmtId="172" formatCode="_(* #,##0.00000_);_(* \(#,##0.00000\);_(* &quot;-&quot;??_);_(@_)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/>
    <xf numFmtId="0" fontId="2" fillId="2" borderId="6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2" fillId="2" borderId="14" xfId="0" applyFont="1" applyFill="1" applyBorder="1"/>
    <xf numFmtId="0" fontId="2" fillId="2" borderId="8" xfId="0" applyFont="1" applyFill="1" applyBorder="1"/>
    <xf numFmtId="0" fontId="5" fillId="2" borderId="1" xfId="0" applyFont="1" applyFill="1" applyBorder="1" applyAlignment="1">
      <alignment horizontal="right" wrapText="1"/>
    </xf>
    <xf numFmtId="0" fontId="5" fillId="2" borderId="12" xfId="0" applyFont="1" applyFill="1" applyBorder="1" applyAlignment="1">
      <alignment horizontal="right" wrapText="1"/>
    </xf>
    <xf numFmtId="0" fontId="6" fillId="2" borderId="13" xfId="0" applyFont="1" applyFill="1" applyBorder="1" applyAlignment="1">
      <alignment horizontal="left" vertical="center" wrapText="1"/>
    </xf>
    <xf numFmtId="49" fontId="7" fillId="2" borderId="3" xfId="0" applyNumberFormat="1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6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  <xf numFmtId="165" fontId="5" fillId="2" borderId="2" xfId="0" applyNumberFormat="1" applyFont="1" applyFill="1" applyBorder="1" applyAlignment="1">
      <alignment horizontal="center" wrapText="1"/>
    </xf>
    <xf numFmtId="165" fontId="5" fillId="2" borderId="9" xfId="0" applyNumberFormat="1" applyFont="1" applyFill="1" applyBorder="1" applyAlignment="1">
      <alignment horizontal="right" wrapText="1"/>
    </xf>
    <xf numFmtId="165" fontId="5" fillId="2" borderId="10" xfId="0" applyNumberFormat="1" applyFont="1" applyFill="1" applyBorder="1" applyAlignment="1">
      <alignment horizontal="right" wrapText="1"/>
    </xf>
    <xf numFmtId="0" fontId="2" fillId="2" borderId="3" xfId="0" applyFont="1" applyFill="1" applyBorder="1"/>
    <xf numFmtId="0" fontId="3" fillId="2" borderId="4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0" fillId="0" borderId="6" xfId="0" applyBorder="1"/>
    <xf numFmtId="168" fontId="5" fillId="2" borderId="2" xfId="0" applyNumberFormat="1" applyFont="1" applyFill="1" applyBorder="1" applyAlignment="1">
      <alignment horizontal="center" wrapText="1"/>
    </xf>
    <xf numFmtId="168" fontId="5" fillId="2" borderId="1" xfId="0" applyNumberFormat="1" applyFont="1" applyFill="1" applyBorder="1" applyAlignment="1">
      <alignment horizontal="right" wrapText="1"/>
    </xf>
    <xf numFmtId="166" fontId="5" fillId="2" borderId="11" xfId="0" applyNumberFormat="1" applyFont="1" applyFill="1" applyBorder="1"/>
    <xf numFmtId="166" fontId="5" fillId="2" borderId="8" xfId="0" applyNumberFormat="1" applyFont="1" applyFill="1" applyBorder="1"/>
    <xf numFmtId="0" fontId="5" fillId="2" borderId="1" xfId="0" applyFont="1" applyFill="1" applyBorder="1"/>
    <xf numFmtId="0" fontId="5" fillId="2" borderId="12" xfId="0" applyFont="1" applyFill="1" applyBorder="1"/>
    <xf numFmtId="0" fontId="7" fillId="2" borderId="1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0" fillId="0" borderId="13" xfId="0" applyBorder="1"/>
    <xf numFmtId="0" fontId="7" fillId="2" borderId="8" xfId="0" applyFont="1" applyFill="1" applyBorder="1" applyAlignment="1">
      <alignment horizontal="center" vertical="center"/>
    </xf>
    <xf numFmtId="0" fontId="5" fillId="2" borderId="4" xfId="0" applyFont="1" applyFill="1" applyBorder="1"/>
    <xf numFmtId="0" fontId="5" fillId="2" borderId="0" xfId="0" applyFont="1" applyFill="1"/>
    <xf numFmtId="0" fontId="5" fillId="2" borderId="6" xfId="0" applyFont="1" applyFill="1" applyBorder="1"/>
    <xf numFmtId="0" fontId="2" fillId="2" borderId="13" xfId="0" applyFont="1" applyFill="1" applyBorder="1"/>
    <xf numFmtId="0" fontId="2" fillId="2" borderId="8" xfId="0" applyFont="1" applyFill="1" applyBorder="1" applyAlignment="1">
      <alignment vertical="center"/>
    </xf>
    <xf numFmtId="0" fontId="2" fillId="2" borderId="10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2" borderId="5" xfId="0" applyFont="1" applyFill="1" applyBorder="1"/>
    <xf numFmtId="0" fontId="2" fillId="2" borderId="2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1" fillId="2" borderId="0" xfId="0" applyFont="1" applyFill="1"/>
    <xf numFmtId="166" fontId="5" fillId="2" borderId="4" xfId="0" applyNumberFormat="1" applyFont="1" applyFill="1" applyBorder="1"/>
    <xf numFmtId="0" fontId="7" fillId="2" borderId="1" xfId="0" applyFont="1" applyFill="1" applyBorder="1" applyAlignment="1">
      <alignment horizontal="center" wrapText="1"/>
    </xf>
    <xf numFmtId="170" fontId="5" fillId="2" borderId="11" xfId="1" applyNumberFormat="1" applyFont="1" applyFill="1" applyBorder="1" applyAlignment="1">
      <alignment horizontal="right" wrapText="1"/>
    </xf>
    <xf numFmtId="170" fontId="5" fillId="2" borderId="1" xfId="1" applyNumberFormat="1" applyFont="1" applyFill="1" applyBorder="1" applyAlignment="1">
      <alignment horizontal="right" wrapText="1"/>
    </xf>
    <xf numFmtId="170" fontId="5" fillId="2" borderId="12" xfId="1" applyNumberFormat="1" applyFont="1" applyFill="1" applyBorder="1" applyAlignment="1">
      <alignment horizontal="right" wrapText="1"/>
    </xf>
    <xf numFmtId="170" fontId="5" fillId="2" borderId="2" xfId="1" applyNumberFormat="1" applyFont="1" applyFill="1" applyBorder="1" applyAlignment="1">
      <alignment horizontal="right" wrapText="1"/>
    </xf>
    <xf numFmtId="170" fontId="5" fillId="2" borderId="7" xfId="1" applyNumberFormat="1" applyFont="1" applyFill="1" applyBorder="1" applyAlignment="1">
      <alignment horizontal="right" wrapText="1"/>
    </xf>
    <xf numFmtId="170" fontId="5" fillId="2" borderId="11" xfId="0" applyNumberFormat="1" applyFont="1" applyFill="1" applyBorder="1" applyAlignment="1">
      <alignment horizontal="right" wrapText="1"/>
    </xf>
    <xf numFmtId="170" fontId="5" fillId="2" borderId="8" xfId="0" applyNumberFormat="1" applyFont="1" applyFill="1" applyBorder="1" applyAlignment="1">
      <alignment horizontal="right" wrapText="1"/>
    </xf>
    <xf numFmtId="170" fontId="5" fillId="2" borderId="1" xfId="0" applyNumberFormat="1" applyFont="1" applyFill="1" applyBorder="1" applyAlignment="1">
      <alignment horizontal="right" wrapText="1"/>
    </xf>
    <xf numFmtId="170" fontId="5" fillId="2" borderId="9" xfId="0" applyNumberFormat="1" applyFont="1" applyFill="1" applyBorder="1" applyAlignment="1">
      <alignment horizontal="right" wrapText="1"/>
    </xf>
    <xf numFmtId="169" fontId="5" fillId="2" borderId="1" xfId="0" applyNumberFormat="1" applyFont="1" applyFill="1" applyBorder="1" applyAlignment="1">
      <alignment horizontal="right" wrapText="1"/>
    </xf>
    <xf numFmtId="169" fontId="5" fillId="2" borderId="9" xfId="0" applyNumberFormat="1" applyFont="1" applyFill="1" applyBorder="1" applyAlignment="1">
      <alignment horizontal="right" wrapText="1"/>
    </xf>
    <xf numFmtId="169" fontId="5" fillId="2" borderId="12" xfId="0" applyNumberFormat="1" applyFont="1" applyFill="1" applyBorder="1" applyAlignment="1">
      <alignment horizontal="right" wrapText="1"/>
    </xf>
    <xf numFmtId="49" fontId="7" fillId="2" borderId="3" xfId="0" quotePrefix="1" applyNumberFormat="1" applyFont="1" applyFill="1" applyBorder="1" applyAlignment="1">
      <alignment horizontal="left" vertical="center" wrapText="1"/>
    </xf>
    <xf numFmtId="4" fontId="1" fillId="2" borderId="0" xfId="0" applyNumberFormat="1" applyFont="1" applyFill="1"/>
    <xf numFmtId="171" fontId="5" fillId="2" borderId="5" xfId="1" applyNumberFormat="1" applyFont="1" applyFill="1" applyBorder="1" applyAlignment="1">
      <alignment horizontal="right" wrapText="1"/>
    </xf>
    <xf numFmtId="171" fontId="5" fillId="2" borderId="2" xfId="1" applyNumberFormat="1" applyFont="1" applyFill="1" applyBorder="1" applyAlignment="1">
      <alignment horizontal="right" wrapText="1"/>
    </xf>
    <xf numFmtId="171" fontId="5" fillId="2" borderId="7" xfId="1" applyNumberFormat="1" applyFont="1" applyFill="1" applyBorder="1" applyAlignment="1">
      <alignment horizontal="right" wrapText="1"/>
    </xf>
    <xf numFmtId="171" fontId="2" fillId="2" borderId="1" xfId="1" applyNumberFormat="1" applyFont="1" applyFill="1" applyBorder="1" applyAlignment="1">
      <alignment horizontal="right" wrapText="1"/>
    </xf>
    <xf numFmtId="171" fontId="5" fillId="2" borderId="1" xfId="1" applyNumberFormat="1" applyFont="1" applyFill="1" applyBorder="1" applyAlignment="1">
      <alignment horizontal="right" wrapText="1"/>
    </xf>
    <xf numFmtId="171" fontId="2" fillId="2" borderId="15" xfId="1" applyNumberFormat="1" applyFont="1" applyFill="1" applyBorder="1" applyAlignment="1">
      <alignment horizontal="right" wrapText="1"/>
    </xf>
    <xf numFmtId="171" fontId="5" fillId="2" borderId="12" xfId="1" applyNumberFormat="1" applyFont="1" applyFill="1" applyBorder="1" applyAlignment="1">
      <alignment horizontal="right" wrapText="1"/>
    </xf>
    <xf numFmtId="171" fontId="5" fillId="2" borderId="11" xfId="1" applyNumberFormat="1" applyFont="1" applyFill="1" applyBorder="1" applyAlignment="1">
      <alignment horizontal="right" wrapText="1"/>
    </xf>
    <xf numFmtId="172" fontId="5" fillId="2" borderId="11" xfId="1" applyNumberFormat="1" applyFont="1" applyFill="1" applyBorder="1" applyAlignment="1">
      <alignment horizontal="right" wrapText="1"/>
    </xf>
    <xf numFmtId="172" fontId="5" fillId="2" borderId="8" xfId="1" applyNumberFormat="1" applyFont="1" applyFill="1" applyBorder="1" applyAlignment="1">
      <alignment horizontal="right" wrapText="1"/>
    </xf>
    <xf numFmtId="172" fontId="5" fillId="2" borderId="1" xfId="1" applyNumberFormat="1" applyFont="1" applyFill="1" applyBorder="1" applyAlignment="1">
      <alignment horizontal="center" wrapText="1"/>
    </xf>
    <xf numFmtId="172" fontId="5" fillId="2" borderId="1" xfId="1" applyNumberFormat="1" applyFont="1" applyFill="1" applyBorder="1" applyAlignment="1">
      <alignment horizontal="right" wrapText="1"/>
    </xf>
    <xf numFmtId="172" fontId="5" fillId="2" borderId="9" xfId="1" applyNumberFormat="1" applyFont="1" applyFill="1" applyBorder="1" applyAlignment="1">
      <alignment horizontal="right" wrapText="1"/>
    </xf>
    <xf numFmtId="172" fontId="5" fillId="2" borderId="12" xfId="1" applyNumberFormat="1" applyFont="1" applyFill="1" applyBorder="1" applyAlignment="1">
      <alignment horizontal="center" wrapText="1"/>
    </xf>
    <xf numFmtId="172" fontId="5" fillId="2" borderId="12" xfId="1" applyNumberFormat="1" applyFont="1" applyFill="1" applyBorder="1" applyAlignment="1">
      <alignment horizontal="right" wrapText="1"/>
    </xf>
    <xf numFmtId="172" fontId="5" fillId="2" borderId="10" xfId="1" applyNumberFormat="1" applyFont="1" applyFill="1" applyBorder="1" applyAlignment="1">
      <alignment horizontal="right" wrapText="1"/>
    </xf>
    <xf numFmtId="0" fontId="2" fillId="2" borderId="15" xfId="1" applyNumberFormat="1" applyFont="1" applyFill="1" applyBorder="1" applyAlignment="1">
      <alignment horizontal="right" wrapText="1"/>
    </xf>
    <xf numFmtId="166" fontId="5" fillId="2" borderId="1" xfId="0" applyNumberFormat="1" applyFont="1" applyFill="1" applyBorder="1"/>
    <xf numFmtId="166" fontId="5" fillId="2" borderId="0" xfId="0" applyNumberFormat="1" applyFont="1" applyFill="1"/>
    <xf numFmtId="166" fontId="5" fillId="2" borderId="9" xfId="0" applyNumberFormat="1" applyFont="1" applyFill="1" applyBorder="1"/>
    <xf numFmtId="10" fontId="1" fillId="2" borderId="0" xfId="0" applyNumberFormat="1" applyFont="1" applyFill="1"/>
    <xf numFmtId="0" fontId="2" fillId="2" borderId="14" xfId="0" applyFont="1" applyFill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169" fontId="5" fillId="2" borderId="9" xfId="0" applyNumberFormat="1" applyFont="1" applyFill="1" applyBorder="1" applyAlignment="1">
      <alignment wrapText="1"/>
    </xf>
    <xf numFmtId="169" fontId="5" fillId="2" borderId="2" xfId="0" applyNumberFormat="1" applyFont="1" applyFill="1" applyBorder="1" applyAlignment="1">
      <alignment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169" fontId="5" fillId="2" borderId="9" xfId="0" applyNumberFormat="1" applyFont="1" applyFill="1" applyBorder="1" applyAlignment="1">
      <alignment horizontal="right" wrapText="1"/>
    </xf>
    <xf numFmtId="169" fontId="5" fillId="2" borderId="2" xfId="0" applyNumberFormat="1" applyFont="1" applyFill="1" applyBorder="1" applyAlignment="1">
      <alignment horizontal="right" wrapText="1"/>
    </xf>
    <xf numFmtId="0" fontId="2" fillId="0" borderId="14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6" fillId="2" borderId="8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67" fontId="2" fillId="2" borderId="14" xfId="0" applyNumberFormat="1" applyFont="1" applyFill="1" applyBorder="1" applyAlignment="1">
      <alignment horizontal="right"/>
    </xf>
    <xf numFmtId="167" fontId="2" fillId="2" borderId="13" xfId="0" applyNumberFormat="1" applyFont="1" applyFill="1" applyBorder="1" applyAlignment="1">
      <alignment horizontal="right"/>
    </xf>
    <xf numFmtId="167" fontId="2" fillId="2" borderId="3" xfId="0" applyNumberFormat="1" applyFont="1" applyFill="1" applyBorder="1" applyAlignment="1">
      <alignment horizontal="right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171" fontId="2" fillId="0" borderId="11" xfId="1" applyNumberFormat="1" applyFont="1" applyBorder="1" applyAlignment="1">
      <alignment horizontal="center" vertical="top" wrapText="1"/>
    </xf>
    <xf numFmtId="171" fontId="2" fillId="0" borderId="12" xfId="1" applyNumberFormat="1" applyFont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right" wrapText="1"/>
    </xf>
    <xf numFmtId="0" fontId="2" fillId="2" borderId="13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  <xf numFmtId="0" fontId="2" fillId="2" borderId="10" xfId="0" applyFont="1" applyFill="1" applyBorder="1" applyAlignment="1">
      <alignment horizontal="right" wrapText="1"/>
    </xf>
    <xf numFmtId="0" fontId="2" fillId="2" borderId="6" xfId="0" applyFont="1" applyFill="1" applyBorder="1" applyAlignment="1">
      <alignment horizontal="right" wrapText="1"/>
    </xf>
    <xf numFmtId="171" fontId="2" fillId="0" borderId="15" xfId="1" applyNumberFormat="1" applyFont="1" applyBorder="1" applyAlignment="1">
      <alignment horizontal="center" wrapText="1"/>
    </xf>
    <xf numFmtId="171" fontId="2" fillId="0" borderId="15" xfId="1" applyNumberFormat="1" applyFont="1" applyBorder="1" applyAlignment="1">
      <alignment horizontal="center"/>
    </xf>
    <xf numFmtId="171" fontId="2" fillId="2" borderId="11" xfId="1" applyNumberFormat="1" applyFont="1" applyFill="1" applyBorder="1" applyAlignment="1">
      <alignment horizontal="center" vertical="center" wrapText="1"/>
    </xf>
    <xf numFmtId="171" fontId="2" fillId="2" borderId="12" xfId="1" applyNumberFormat="1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69" fontId="5" fillId="2" borderId="10" xfId="0" applyNumberFormat="1" applyFont="1" applyFill="1" applyBorder="1" applyAlignment="1">
      <alignment wrapText="1"/>
    </xf>
    <xf numFmtId="169" fontId="5" fillId="2" borderId="7" xfId="0" applyNumberFormat="1" applyFont="1" applyFill="1" applyBorder="1" applyAlignment="1">
      <alignment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right" wrapText="1"/>
    </xf>
    <xf numFmtId="0" fontId="5" fillId="2" borderId="2" xfId="0" applyFont="1" applyFill="1" applyBorder="1" applyAlignment="1">
      <alignment horizontal="right" wrapText="1"/>
    </xf>
    <xf numFmtId="169" fontId="5" fillId="2" borderId="8" xfId="0" applyNumberFormat="1" applyFont="1" applyFill="1" applyBorder="1" applyAlignment="1">
      <alignment horizontal="right" wrapText="1"/>
    </xf>
    <xf numFmtId="169" fontId="5" fillId="2" borderId="5" xfId="0" applyNumberFormat="1" applyFont="1" applyFill="1" applyBorder="1" applyAlignment="1">
      <alignment horizontal="right" wrapText="1"/>
    </xf>
    <xf numFmtId="0" fontId="5" fillId="2" borderId="10" xfId="0" applyFont="1" applyFill="1" applyBorder="1" applyAlignment="1">
      <alignment horizontal="right" wrapText="1"/>
    </xf>
    <xf numFmtId="0" fontId="5" fillId="2" borderId="7" xfId="0" applyFont="1" applyFill="1" applyBorder="1" applyAlignment="1">
      <alignment horizontal="right" wrapText="1"/>
    </xf>
    <xf numFmtId="0" fontId="7" fillId="2" borderId="1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695325</xdr:colOff>
      <xdr:row>0</xdr:row>
      <xdr:rowOff>123825</xdr:rowOff>
    </xdr:from>
    <xdr:to>
      <xdr:col>10</xdr:col>
      <xdr:colOff>664845</xdr:colOff>
      <xdr:row>3</xdr:row>
      <xdr:rowOff>46953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584567-BD90-46AC-8974-AC47C01F9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4275" y="123825"/>
          <a:ext cx="750570" cy="4184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\Documents\LUCAS\SERVICOS\PROPOSTA_PRECO_CE_50_2024_SINFRA\PROPOSTA_PRECO_CE_50_2024_SINFRA.xlsx" TargetMode="External"/><Relationship Id="rId1" Type="http://schemas.openxmlformats.org/officeDocument/2006/relationships/externalLinkPath" Target="/Users/lucas/Documents/LUCAS/SERVICOS/PROPOSTA_PRECO_CE_50_2024_SINFRA/PROPOSTA_PRECO_CE_50_2024_SINF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_ORCAMENTO"/>
      <sheetName val="ORCAMENTO"/>
      <sheetName val="BANCO_DADOS"/>
      <sheetName val="BDI"/>
      <sheetName val="BDI DIF"/>
      <sheetName val="CRONOGRAMA"/>
      <sheetName val="CANTEIRO"/>
      <sheetName val="MOBILIZACAO"/>
      <sheetName val="ADLOC_RESUMO"/>
      <sheetName val="MOB_PESSOAL"/>
      <sheetName val="MOB_EQ"/>
      <sheetName val="ADLOC_PARCELAFIXA_MO"/>
      <sheetName val="ADLOC_PARCELAFIXA_VEIC"/>
      <sheetName val="ADLOC_PARCELAVINC_MO"/>
      <sheetName val="ADLOC_PARCELAVINC_VEIC"/>
      <sheetName val="ADLOC_PARCELAVAR_MO"/>
      <sheetName val="ADLOC_PARCELAVAR_VEIC"/>
      <sheetName val="ADLOC_PARCELAMANUT"/>
      <sheetName val="CPU_TRANSPORTES"/>
      <sheetName val="CPU_BETUME"/>
      <sheetName val="EQUIPAMENTOS"/>
      <sheetName val="MATERIAIS"/>
      <sheetName val="MAO_DE_OBRA"/>
      <sheetName val="PRODUTIVIDADE"/>
      <sheetName val="AUXILIARES"/>
      <sheetName val="TEMPO_FIX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 t="str">
            <v>CÓDIGO</v>
          </cell>
          <cell r="B1" t="str">
            <v>DESCRIÇÃO</v>
          </cell>
          <cell r="C1" t="str">
            <v>UND</v>
          </cell>
          <cell r="D1" t="str">
            <v>PREÇO PRODUTIVO</v>
          </cell>
          <cell r="E1" t="str">
            <v>PREÇO IMPRODUTIVO</v>
          </cell>
        </row>
        <row r="2">
          <cell r="A2" t="str">
            <v>E9093</v>
          </cell>
          <cell r="B2" t="str">
            <v>VEÍCULO LEVE - 53 KW</v>
          </cell>
          <cell r="C2" t="str">
            <v>h</v>
          </cell>
          <cell r="D2">
            <v>34.542700000000004</v>
          </cell>
          <cell r="E2">
            <v>6.5369999999999999</v>
          </cell>
        </row>
        <row r="3">
          <cell r="A3" t="str">
            <v>E9560</v>
          </cell>
          <cell r="B3" t="str">
            <v>ÔNIBUS COM CAPACIDADE PARA 80 PASSAGEIROS - 175 KW</v>
          </cell>
          <cell r="C3" t="str">
            <v>h</v>
          </cell>
          <cell r="D3">
            <v>365.46039999999999</v>
          </cell>
          <cell r="E3">
            <v>105.42189999999999</v>
          </cell>
        </row>
        <row r="4">
          <cell r="A4" t="str">
            <v>E9125</v>
          </cell>
          <cell r="B4" t="str">
            <v>VAN FURGÃO A DIESEL - 93 KW</v>
          </cell>
          <cell r="C4" t="str">
            <v>h</v>
          </cell>
          <cell r="D4">
            <v>83.904799999999994</v>
          </cell>
          <cell r="E4">
            <v>45.514699999999998</v>
          </cell>
        </row>
        <row r="5">
          <cell r="A5" t="str">
            <v>E9686</v>
          </cell>
          <cell r="B5" t="str">
            <v>CAMINHÃO GUINDAUTO DE 20 T</v>
          </cell>
          <cell r="C5" t="str">
            <v>h</v>
          </cell>
          <cell r="D5">
            <v>320.23340000000002</v>
          </cell>
          <cell r="E5">
            <v>120.2379</v>
          </cell>
        </row>
        <row r="6">
          <cell r="A6" t="str">
            <v>E9669</v>
          </cell>
          <cell r="B6" t="str">
            <v>CAMINHÃO TANQUE DE 8.000 L</v>
          </cell>
          <cell r="C6" t="str">
            <v>h</v>
          </cell>
          <cell r="D6">
            <v>267.02249999999998</v>
          </cell>
          <cell r="E6">
            <v>77.057000000000002</v>
          </cell>
        </row>
        <row r="7">
          <cell r="A7" t="str">
            <v>E9524</v>
          </cell>
          <cell r="B7" t="str">
            <v>MOTONIVELADORA</v>
          </cell>
          <cell r="C7" t="str">
            <v>h</v>
          </cell>
          <cell r="D7">
            <v>289.40050000000002</v>
          </cell>
          <cell r="E7">
            <v>124.2174</v>
          </cell>
        </row>
        <row r="8">
          <cell r="A8" t="str">
            <v>E9515</v>
          </cell>
          <cell r="B8" t="str">
            <v>ESCAVADEIRA HIDRÁULICA SOBRE ESTEIRAS COM CAÇAMBA COM CAPACIDADE DE 1,56 M³ - 118 KW</v>
          </cell>
          <cell r="C8" t="str">
            <v>h</v>
          </cell>
          <cell r="D8">
            <v>289.02839999999998</v>
          </cell>
          <cell r="E8">
            <v>127.742</v>
          </cell>
        </row>
        <row r="9">
          <cell r="A9" t="str">
            <v>E9020</v>
          </cell>
          <cell r="B9" t="str">
            <v>RECICLADORA A FRIO - 455 KW</v>
          </cell>
          <cell r="C9" t="str">
            <v>h</v>
          </cell>
          <cell r="D9">
            <v>1354.4245000000001</v>
          </cell>
          <cell r="E9">
            <v>425.00130000000001</v>
          </cell>
        </row>
        <row r="10">
          <cell r="A10" t="str">
            <v>E9526</v>
          </cell>
          <cell r="B10" t="str">
            <v xml:space="preserve">RETROESCAVADEIRA DE PNEUS - CAPACIDADE DA CAÇAMBA DA PÁ-CARREGADEIRA DE 0,76 M³ E DA RETROESCAVADEIRA DE 0,29 M³ - 58 KW </v>
          </cell>
          <cell r="C10" t="str">
            <v>h</v>
          </cell>
          <cell r="D10">
            <v>152.94159999999999</v>
          </cell>
          <cell r="E10">
            <v>76.328299999999999</v>
          </cell>
        </row>
        <row r="11">
          <cell r="A11" t="str">
            <v>E9762</v>
          </cell>
          <cell r="B11" t="str">
            <v>ROLO COMPACTADOR DE PNEUS AUTOPROPELIDO DE 27 T - 85 KW</v>
          </cell>
          <cell r="C11" t="str">
            <v>h</v>
          </cell>
          <cell r="D11">
            <v>256.42039999999997</v>
          </cell>
          <cell r="E11">
            <v>123.223</v>
          </cell>
        </row>
        <row r="12">
          <cell r="A12" t="str">
            <v>E9530</v>
          </cell>
          <cell r="B12" t="str">
            <v>ROLO COMPACTADOR LISO VIBRATÓRIO AUTOPROPELIDO POR PNEUS DE 11 T - 97 KW</v>
          </cell>
          <cell r="C12" t="str">
            <v>h</v>
          </cell>
          <cell r="D12">
            <v>251.67760000000001</v>
          </cell>
          <cell r="E12">
            <v>106.4589</v>
          </cell>
        </row>
        <row r="13">
          <cell r="A13" t="str">
            <v>E9685</v>
          </cell>
          <cell r="B13" t="str">
            <v>ROLO COMPACTADOR PÉ DE CARNEIRO VIBRATÓRIO AUTOPROPELIDO POR PNEUS DE 11,6 T - 82 KW</v>
          </cell>
          <cell r="C13" t="str">
            <v>h</v>
          </cell>
          <cell r="D13">
            <v>216.69829999999999</v>
          </cell>
          <cell r="E13">
            <v>94.465599999999995</v>
          </cell>
        </row>
        <row r="14">
          <cell r="A14" t="str">
            <v>E9577</v>
          </cell>
          <cell r="B14" t="str">
            <v>TRATOR AGRÍCOLA SOBRE PNEUS - 77 KW</v>
          </cell>
          <cell r="C14" t="str">
            <v>h</v>
          </cell>
          <cell r="D14">
            <v>145.35509999999999</v>
          </cell>
          <cell r="E14">
            <v>50.088700000000003</v>
          </cell>
        </row>
        <row r="15">
          <cell r="A15" t="str">
            <v>E9745</v>
          </cell>
          <cell r="B15" t="str">
            <v>TRATOR AGRÍCOLA SOBRE PNEUS COM ROÇADEIRA DE ARRASTE E CAPACIDADE DE 1,50 M - 77 KW</v>
          </cell>
          <cell r="C15" t="str">
            <v>h</v>
          </cell>
          <cell r="D15">
            <v>148.75020000000001</v>
          </cell>
          <cell r="E15">
            <v>52.098799999999997</v>
          </cell>
        </row>
        <row r="16">
          <cell r="A16" t="str">
            <v>E9076</v>
          </cell>
          <cell r="B16" t="str">
            <v>EQUIPAMENTO PARA PINTURA ELETROSTÁTICA COM CABINE DUPLA DE 7,00 KW E ESTUFA DE 80.000 KCAL</v>
          </cell>
          <cell r="C16" t="str">
            <v>h</v>
          </cell>
          <cell r="D16">
            <v>44.5458</v>
          </cell>
          <cell r="E16">
            <v>38.710500000000003</v>
          </cell>
        </row>
        <row r="17">
          <cell r="A17" t="str">
            <v>E9558</v>
          </cell>
          <cell r="B17" t="str">
            <v>TANQUE DE ESTOCAGEM DE ASFALTO COM CAPACIDADE DE 30.000 L</v>
          </cell>
          <cell r="C17" t="str">
            <v>h</v>
          </cell>
          <cell r="D17">
            <v>55.1126</v>
          </cell>
          <cell r="E17">
            <v>37.645899999999997</v>
          </cell>
        </row>
        <row r="18">
          <cell r="A18" t="str">
            <v>E9541</v>
          </cell>
          <cell r="B18" t="str">
            <v>TRATOR SOBRE ESTEIRAS COM LÂMINA - 259 KW</v>
          </cell>
          <cell r="C18" t="str">
            <v>h</v>
          </cell>
          <cell r="D18">
            <v>771.88149999999996</v>
          </cell>
          <cell r="E18">
            <v>301.39760000000001</v>
          </cell>
        </row>
        <row r="19">
          <cell r="A19" t="str">
            <v>E9665</v>
          </cell>
          <cell r="B19" t="str">
            <v>CAVALO MECÂNICO COM SEMIRREBOQUE COM CAPACIDADE DE 22 T - 240 KW</v>
          </cell>
          <cell r="C19" t="str">
            <v>h</v>
          </cell>
          <cell r="D19">
            <v>399.08940000000001</v>
          </cell>
          <cell r="E19">
            <v>128.01300000000001</v>
          </cell>
        </row>
        <row r="20">
          <cell r="A20" t="str">
            <v>E9018</v>
          </cell>
          <cell r="B20" t="str">
            <v>CAVALO MECÂNICO COM DOLLY INTERMEDIÁRIO E SEMIRREBOQUE DE 4 EIXOS COM CAPACIDADE DE 53 T - 323 KW</v>
          </cell>
          <cell r="C20" t="str">
            <v>h</v>
          </cell>
          <cell r="D20">
            <v>548.36959999999999</v>
          </cell>
          <cell r="E20">
            <v>173.59639999999999</v>
          </cell>
        </row>
        <row r="21">
          <cell r="A21" t="str">
            <v>E9666</v>
          </cell>
          <cell r="B21" t="str">
            <v>CAVALO MECÂNICO COM SEMIRREBOQUE COM CAPACIDADE DE 30 T - 265 KW</v>
          </cell>
          <cell r="C21" t="str">
            <v>h</v>
          </cell>
          <cell r="D21">
            <v>427.06079999999997</v>
          </cell>
          <cell r="E21">
            <v>130.11150000000001</v>
          </cell>
        </row>
        <row r="22">
          <cell r="A22" t="str">
            <v>E9579</v>
          </cell>
          <cell r="B22" t="str">
            <v>CAMINHÃO BASCULANTE COM CAPACIDADE DE 10 M³ - 188 KW</v>
          </cell>
          <cell r="C22" t="str">
            <v>h</v>
          </cell>
          <cell r="D22">
            <v>297.49979999999999</v>
          </cell>
          <cell r="E22">
            <v>90.806700000000006</v>
          </cell>
        </row>
        <row r="23">
          <cell r="A23" t="str">
            <v>E9667</v>
          </cell>
          <cell r="B23" t="str">
            <v>CAMINHÃO BASCULANTE COM CAPACIDADE DE 14 M³ - 188 KW</v>
          </cell>
          <cell r="C23" t="str">
            <v>h</v>
          </cell>
          <cell r="D23">
            <v>304.89319999999998</v>
          </cell>
          <cell r="E23">
            <v>97.143500000000003</v>
          </cell>
        </row>
        <row r="24">
          <cell r="A24" t="str">
            <v>E9600</v>
          </cell>
          <cell r="B24" t="str">
            <v>CAMINHÃO BETONEIRA COM CAPACIDADE DE 8 M³ - 188 KW</v>
          </cell>
          <cell r="C24" t="str">
            <v>h</v>
          </cell>
          <cell r="D24">
            <v>319.44279999999998</v>
          </cell>
          <cell r="E24">
            <v>104.7807</v>
          </cell>
        </row>
        <row r="25">
          <cell r="A25" t="str">
            <v>E9592</v>
          </cell>
          <cell r="B25" t="str">
            <v>CAMINHÃO CARROCERIA COM CAPACIDADE DE 15 T - 188 KW</v>
          </cell>
          <cell r="C25" t="str">
            <v>h</v>
          </cell>
          <cell r="D25">
            <v>276.86309999999997</v>
          </cell>
          <cell r="E25">
            <v>80.359099999999998</v>
          </cell>
        </row>
        <row r="26">
          <cell r="A26" t="str">
            <v>E9687</v>
          </cell>
          <cell r="B26" t="str">
            <v>CAMINHÃO CARROCERIA COM CAPACIDADE DE 5 T - 115 KW</v>
          </cell>
          <cell r="C26" t="str">
            <v>h</v>
          </cell>
          <cell r="D26">
            <v>154.86199999999999</v>
          </cell>
          <cell r="E26">
            <v>60.556399999999996</v>
          </cell>
        </row>
        <row r="27">
          <cell r="A27" t="str">
            <v>E9644</v>
          </cell>
          <cell r="B27" t="str">
            <v>CAMINHÃO DEMARCADOR DE FAIXAS COM SISTEMA DE PINTURA A FRIO - 28 KW/115 KW</v>
          </cell>
          <cell r="C27" t="str">
            <v>h</v>
          </cell>
          <cell r="D27">
            <v>385.161</v>
          </cell>
          <cell r="E27">
            <v>159.17240000000001</v>
          </cell>
        </row>
        <row r="28">
          <cell r="A28" t="str">
            <v>E9027</v>
          </cell>
          <cell r="B28" t="str">
            <v>CAMINHÃO DISTRIBUIDOR DE CIMENTO E CAL COM CAPACIDADE DE 17 M³ - 210 KW</v>
          </cell>
          <cell r="C28" t="str">
            <v>h</v>
          </cell>
          <cell r="D28">
            <v>450.60050000000001</v>
          </cell>
          <cell r="E28">
            <v>130.91139999999999</v>
          </cell>
        </row>
        <row r="29">
          <cell r="A29" t="str">
            <v>E9792</v>
          </cell>
          <cell r="B29" t="str">
            <v>CAMINHÃO PARA HIDROSSEMEADURA COM CAPACIDADE DE 7.500 L - 136 KW</v>
          </cell>
          <cell r="C29" t="str">
            <v>h</v>
          </cell>
          <cell r="D29">
            <v>352.95359999999999</v>
          </cell>
          <cell r="E29">
            <v>133.78380000000001</v>
          </cell>
        </row>
        <row r="30">
          <cell r="A30" t="str">
            <v>E9571</v>
          </cell>
          <cell r="B30" t="str">
            <v>CAMINHÃO TANQUE COM CAPACIDADE DE 10.000 L - 188 KW</v>
          </cell>
          <cell r="C30" t="str">
            <v>h</v>
          </cell>
          <cell r="D30">
            <v>338.95429999999999</v>
          </cell>
          <cell r="E30">
            <v>85.446100000000001</v>
          </cell>
        </row>
        <row r="31">
          <cell r="A31" t="str">
            <v>E9509</v>
          </cell>
          <cell r="B31" t="str">
            <v>CAMINHÃO TANQUE DISTRIBUIDOR DE ASFALTO COM CAPACIDADE DE 6.000 L - 7 KW/136 KW</v>
          </cell>
          <cell r="C31" t="str">
            <v>h</v>
          </cell>
          <cell r="D31">
            <v>271.98989999999998</v>
          </cell>
          <cell r="E31">
            <v>75.983800000000002</v>
          </cell>
        </row>
        <row r="32">
          <cell r="A32" t="str">
            <v>E9512</v>
          </cell>
          <cell r="B32" t="str">
            <v>VEÍCULO LEVE - 53 KW</v>
          </cell>
          <cell r="C32" t="str">
            <v>h</v>
          </cell>
          <cell r="D32">
            <v>61.758800000000001</v>
          </cell>
          <cell r="E32">
            <v>33.753100000000003</v>
          </cell>
        </row>
        <row r="33">
          <cell r="A33" t="str">
            <v>E9506</v>
          </cell>
          <cell r="B33" t="str">
            <v>CAMINHÃO BASCULANTE COM CAPACIDADE DE 6 M³ - 136 KW</v>
          </cell>
          <cell r="C33" t="str">
            <v>h</v>
          </cell>
          <cell r="D33">
            <v>186.91569999999999</v>
          </cell>
          <cell r="E33">
            <v>72.598299999999995</v>
          </cell>
        </row>
        <row r="34">
          <cell r="A34" t="str">
            <v>E9584</v>
          </cell>
          <cell r="B34" t="str">
            <v>CARREGADEIRA DE PNEUS COM CAPACIDADE DE 1,72 M³ - 113 KW</v>
          </cell>
          <cell r="C34" t="str">
            <v>h</v>
          </cell>
          <cell r="D34">
            <v>193.5318</v>
          </cell>
          <cell r="E34">
            <v>95.293400000000005</v>
          </cell>
        </row>
      </sheetData>
      <sheetData sheetId="21">
        <row r="1">
          <cell r="A1" t="str">
            <v>CÓDIGO</v>
          </cell>
          <cell r="B1" t="str">
            <v>DESCRIÇÃO</v>
          </cell>
          <cell r="C1" t="str">
            <v>UND</v>
          </cell>
          <cell r="D1" t="str">
            <v>PREÇO UNITÁRIO</v>
          </cell>
        </row>
        <row r="2">
          <cell r="A2" t="str">
            <v>M0066</v>
          </cell>
          <cell r="B2" t="str">
            <v>CONTÊINER COM REVESTIMENTO TÉRMICO, JANELA E BANHEIRO - L = 2,44 M E C = 12,90 M (2 TEU)</v>
          </cell>
          <cell r="C2" t="str">
            <v>un</v>
          </cell>
          <cell r="D2">
            <v>93574.4231</v>
          </cell>
        </row>
        <row r="3">
          <cell r="A3" t="str">
            <v>M0058</v>
          </cell>
          <cell r="B3" t="str">
            <v>CONTÊINER COM JANELA E 2 BANHEIROS - L = 4,88 M E C = 6,09 M (1 TEU DUPLO)</v>
          </cell>
          <cell r="C3" t="str">
            <v>un</v>
          </cell>
          <cell r="D3">
            <v>115943.75539999999</v>
          </cell>
        </row>
        <row r="4">
          <cell r="A4" t="str">
            <v>M0057</v>
          </cell>
          <cell r="B4" t="str">
            <v>CONTÊINER COM JANELA - L = 4,88 M E C = 6,09 M (1 TEU DUPLO)</v>
          </cell>
          <cell r="C4" t="str">
            <v>un</v>
          </cell>
          <cell r="D4">
            <v>111405.2942</v>
          </cell>
        </row>
        <row r="5">
          <cell r="A5" t="str">
            <v>M0059</v>
          </cell>
          <cell r="B5" t="str">
            <v>CONTÊINER COM REVESTIMENTO TÉRMICO, JANELA E BANHEIRO - L = 2,44 M E C = 6,09 M (1 TEU)</v>
          </cell>
          <cell r="C5" t="str">
            <v>un</v>
          </cell>
          <cell r="D5">
            <v>76628.944799999997</v>
          </cell>
        </row>
        <row r="6">
          <cell r="A6" t="str">
            <v>M0041</v>
          </cell>
          <cell r="B6" t="str">
            <v>CONTÊINER COM 2 BANHEIROS - L = 2,44 M E C = 6,09 M (1 TEU)</v>
          </cell>
          <cell r="C6" t="str">
            <v>un</v>
          </cell>
          <cell r="D6">
            <v>81062.114100000006</v>
          </cell>
        </row>
        <row r="7">
          <cell r="A7" t="str">
            <v>M0060</v>
          </cell>
          <cell r="B7" t="str">
            <v>CONTÊINER COM JANELA - L = 2,44 M E C = 4,58 M (3/4 TEU)</v>
          </cell>
          <cell r="C7" t="str">
            <v>un</v>
          </cell>
          <cell r="D7">
            <v>45376.491999999998</v>
          </cell>
        </row>
        <row r="8">
          <cell r="A8" t="str">
            <v>M0065</v>
          </cell>
          <cell r="B8" t="str">
            <v>CONTÊINER COM JANELA E BANHEIRO - L = 2.44 M E 4,58 M (3/4 TEU)</v>
          </cell>
          <cell r="C8" t="str">
            <v>un</v>
          </cell>
          <cell r="D8">
            <v>58562.877200000003</v>
          </cell>
        </row>
      </sheetData>
      <sheetData sheetId="22">
        <row r="1">
          <cell r="A1" t="str">
            <v>CÓDIGO</v>
          </cell>
          <cell r="B1" t="str">
            <v>DESCRIÇÃO</v>
          </cell>
          <cell r="C1" t="str">
            <v>UND</v>
          </cell>
          <cell r="D1" t="str">
            <v>PREÇO UNITÁRIO</v>
          </cell>
        </row>
        <row r="2">
          <cell r="A2" t="str">
            <v>P9819</v>
          </cell>
          <cell r="B2" t="str">
            <v>ENGENHEIRO SUPERVISOR</v>
          </cell>
          <cell r="C2" t="str">
            <v>mês</v>
          </cell>
          <cell r="D2">
            <v>22951.6181</v>
          </cell>
        </row>
        <row r="3">
          <cell r="A3" t="str">
            <v>P9840</v>
          </cell>
          <cell r="B3" t="str">
            <v>ENCARREGADO GERAL</v>
          </cell>
          <cell r="C3" t="str">
            <v>mês</v>
          </cell>
          <cell r="D3">
            <v>11706.786400000001</v>
          </cell>
        </row>
        <row r="4">
          <cell r="A4" t="str">
            <v>P9897</v>
          </cell>
          <cell r="B4" t="str">
            <v>TÉCNICO DE MEIO AMBIENTE</v>
          </cell>
          <cell r="C4" t="str">
            <v>mês</v>
          </cell>
          <cell r="D4">
            <v>7500.4</v>
          </cell>
        </row>
        <row r="5">
          <cell r="A5" t="str">
            <v>P9878</v>
          </cell>
          <cell r="B5" t="str">
            <v>SECRETÁRIA</v>
          </cell>
          <cell r="C5" t="str">
            <v>mês</v>
          </cell>
          <cell r="D5">
            <v>6032.6922999999997</v>
          </cell>
        </row>
        <row r="6">
          <cell r="A6" t="str">
            <v>P9946</v>
          </cell>
          <cell r="B6" t="str">
            <v>ENGENHEIRO AUXILIAR</v>
          </cell>
          <cell r="C6" t="str">
            <v>mês</v>
          </cell>
          <cell r="D6">
            <v>22387.054499999998</v>
          </cell>
        </row>
        <row r="7">
          <cell r="A7" t="str">
            <v>P9903</v>
          </cell>
          <cell r="B7" t="str">
            <v>AUXLIAR TÉCNICO</v>
          </cell>
          <cell r="C7" t="str">
            <v>mês</v>
          </cell>
          <cell r="D7">
            <v>4498.5343000000003</v>
          </cell>
        </row>
        <row r="8">
          <cell r="A8" t="str">
            <v>P9809</v>
          </cell>
          <cell r="B8" t="str">
            <v>ENCARREGADO ADMINISTRATIVO</v>
          </cell>
          <cell r="C8" t="str">
            <v>mês</v>
          </cell>
          <cell r="D8">
            <v>7974.2835999999998</v>
          </cell>
        </row>
        <row r="9">
          <cell r="A9" t="str">
            <v>P9896</v>
          </cell>
          <cell r="B9" t="str">
            <v>PORTEIRO</v>
          </cell>
          <cell r="C9" t="str">
            <v>mês</v>
          </cell>
          <cell r="D9">
            <v>4272.7596000000003</v>
          </cell>
        </row>
        <row r="10">
          <cell r="A10" t="str">
            <v>P9827</v>
          </cell>
          <cell r="B10" t="str">
            <v>VIGIA</v>
          </cell>
          <cell r="C10" t="str">
            <v>mês</v>
          </cell>
          <cell r="D10">
            <v>4840.2168000000001</v>
          </cell>
        </row>
        <row r="11">
          <cell r="A11" t="str">
            <v>P9806</v>
          </cell>
          <cell r="B11" t="str">
            <v>AUXILIAR ADMINISTRATIVO</v>
          </cell>
          <cell r="C11" t="str">
            <v>mês</v>
          </cell>
          <cell r="D11">
            <v>4642.7579999999998</v>
          </cell>
        </row>
        <row r="12">
          <cell r="A12" t="str">
            <v>P9842</v>
          </cell>
          <cell r="B12" t="str">
            <v>FAXINEIRO</v>
          </cell>
          <cell r="C12" t="str">
            <v>mês</v>
          </cell>
          <cell r="D12">
            <v>3794.6817000000001</v>
          </cell>
        </row>
        <row r="13">
          <cell r="A13" t="str">
            <v>P9884</v>
          </cell>
          <cell r="B13" t="str">
            <v>ENCARREGADO DE TERRAPLANAGEM</v>
          </cell>
          <cell r="C13" t="str">
            <v>mês</v>
          </cell>
          <cell r="D13">
            <v>8075.9594999999999</v>
          </cell>
        </row>
        <row r="14">
          <cell r="A14" t="str">
            <v>P9893</v>
          </cell>
          <cell r="B14" t="str">
            <v>ENCARREGADO DE PAVIMENTAÇÃO</v>
          </cell>
          <cell r="C14" t="str">
            <v>mês</v>
          </cell>
          <cell r="D14">
            <v>8075.9594999999999</v>
          </cell>
        </row>
        <row r="15">
          <cell r="A15" t="str">
            <v>P9949</v>
          </cell>
          <cell r="B15" t="str">
            <v>TOPÓGRAFO</v>
          </cell>
          <cell r="C15" t="str">
            <v>mês</v>
          </cell>
          <cell r="D15">
            <v>6161.1576999999997</v>
          </cell>
        </row>
        <row r="16">
          <cell r="A16" t="str">
            <v>P9950</v>
          </cell>
          <cell r="B16" t="str">
            <v>AUXILIAR DE TOPOGRAFIA</v>
          </cell>
          <cell r="C16" t="str">
            <v>mês</v>
          </cell>
          <cell r="D16">
            <v>4876.2303000000002</v>
          </cell>
        </row>
        <row r="17">
          <cell r="A17" t="str">
            <v>P9876</v>
          </cell>
          <cell r="B17" t="str">
            <v>TÉCNICO DE SEGURANÇA DO TRABALHO</v>
          </cell>
          <cell r="C17" t="str">
            <v>mês</v>
          </cell>
          <cell r="D17">
            <v>6565.0910999999996</v>
          </cell>
        </row>
        <row r="18">
          <cell r="A18" t="str">
            <v>P9875</v>
          </cell>
          <cell r="B18" t="str">
            <v>ENCARREGADO DE TURMA</v>
          </cell>
          <cell r="C18" t="str">
            <v>mês</v>
          </cell>
          <cell r="D18">
            <v>5663.7982000000002</v>
          </cell>
        </row>
        <row r="19">
          <cell r="A19" t="str">
            <v>P9804</v>
          </cell>
          <cell r="B19" t="str">
            <v>APONTADOR</v>
          </cell>
          <cell r="C19" t="str">
            <v>mês</v>
          </cell>
          <cell r="D19">
            <v>4589.8550999999998</v>
          </cell>
        </row>
        <row r="20">
          <cell r="A20" t="str">
            <v>P9858</v>
          </cell>
          <cell r="B20" t="str">
            <v>LABORATORISTA</v>
          </cell>
          <cell r="C20" t="str">
            <v>mês</v>
          </cell>
          <cell r="D20">
            <v>5978.1909999999998</v>
          </cell>
        </row>
        <row r="21">
          <cell r="A21" t="str">
            <v>P9833</v>
          </cell>
          <cell r="B21" t="str">
            <v>AUXILIAR DE LABORATÓRIO</v>
          </cell>
          <cell r="C21" t="str">
            <v>mês</v>
          </cell>
          <cell r="D21">
            <v>4430.2919000000002</v>
          </cell>
        </row>
        <row r="22">
          <cell r="A22" t="str">
            <v>P9947</v>
          </cell>
          <cell r="B22" t="str">
            <v>TÉCNICO FLORESTAL</v>
          </cell>
          <cell r="C22" t="str">
            <v>mês</v>
          </cell>
          <cell r="D22">
            <v>7500.4</v>
          </cell>
        </row>
        <row r="23">
          <cell r="A23" t="str">
            <v>P9953</v>
          </cell>
          <cell r="B23" t="str">
            <v>ELETRICISTA</v>
          </cell>
          <cell r="C23" t="str">
            <v>mês</v>
          </cell>
          <cell r="D23">
            <v>5864.0111999999999</v>
          </cell>
        </row>
        <row r="24">
          <cell r="A24" t="str">
            <v>P9952</v>
          </cell>
          <cell r="B24" t="str">
            <v>PEDREIRO</v>
          </cell>
          <cell r="C24" t="str">
            <v>mês</v>
          </cell>
          <cell r="D24">
            <v>5776.7767999999996</v>
          </cell>
        </row>
        <row r="25">
          <cell r="A25" t="str">
            <v>P9954</v>
          </cell>
          <cell r="B25" t="str">
            <v>SERVENTE</v>
          </cell>
          <cell r="C25" t="str">
            <v>mês</v>
          </cell>
          <cell r="D25">
            <v>4324.0249000000003</v>
          </cell>
        </row>
        <row r="26">
          <cell r="A26" t="str">
            <v>P9824</v>
          </cell>
          <cell r="B26" t="str">
            <v>SERVENTE</v>
          </cell>
          <cell r="C26" t="str">
            <v>h</v>
          </cell>
          <cell r="D26">
            <v>19.689399999999999</v>
          </cell>
        </row>
        <row r="27">
          <cell r="A27" t="str">
            <v>P9843</v>
          </cell>
          <cell r="B27" t="str">
            <v>OPERADOR DE EQUIPAMENTO LEVE</v>
          </cell>
          <cell r="C27" t="str">
            <v>h</v>
          </cell>
          <cell r="D27">
            <v>24.7456</v>
          </cell>
        </row>
        <row r="28">
          <cell r="A28" t="str">
            <v>P9845</v>
          </cell>
          <cell r="B28" t="str">
            <v>OPERADOR DE EQUIPAMENTO PESADO</v>
          </cell>
          <cell r="C28" t="str">
            <v>h</v>
          </cell>
          <cell r="D28">
            <v>31.741599999999998</v>
          </cell>
        </row>
        <row r="29">
          <cell r="A29" t="str">
            <v>P9866</v>
          </cell>
          <cell r="B29" t="str">
            <v>MOTORISTA DE CAMINHÃO</v>
          </cell>
          <cell r="C29" t="str">
            <v>h</v>
          </cell>
          <cell r="D29">
            <v>27.9756</v>
          </cell>
        </row>
        <row r="30">
          <cell r="A30" t="str">
            <v>P9871</v>
          </cell>
          <cell r="B30" t="str">
            <v>MOTORISTA DE VEÍCULO ESPECIAL</v>
          </cell>
          <cell r="C30" t="str">
            <v>h</v>
          </cell>
          <cell r="D30">
            <v>31.505600000000001</v>
          </cell>
        </row>
      </sheetData>
      <sheetData sheetId="23">
        <row r="1">
          <cell r="A1" t="str">
            <v>CÓDIGO</v>
          </cell>
          <cell r="B1" t="str">
            <v>DESCRIÇÃO</v>
          </cell>
          <cell r="C1" t="str">
            <v>UND</v>
          </cell>
          <cell r="D1" t="str">
            <v>PRODUTIVIDADE</v>
          </cell>
        </row>
        <row r="2">
          <cell r="A2">
            <v>5914655</v>
          </cell>
          <cell r="B2" t="str">
            <v>CARGA, MANOBRA E DESCARGA DE MATERIAIS DIVERSOS EM CAMINHÃO CARROCERIA DE 15 T - CARGA E DESCARGA MANUAIS</v>
          </cell>
          <cell r="C2" t="str">
            <v>t</v>
          </cell>
          <cell r="D2">
            <v>11.84</v>
          </cell>
        </row>
        <row r="3">
          <cell r="A3">
            <v>5915399</v>
          </cell>
          <cell r="B3" t="str">
            <v>CARGA, MANOBRA E DESCARGA DE AGREGADOS OU SOLOS EM CAMINHÃO BASCULANTE DE 6 M³ - CARGA COM CARREGADEIRA DE 1,72 M³ E DESCARGA LIVRE</v>
          </cell>
          <cell r="C3" t="str">
            <v>t</v>
          </cell>
          <cell r="D3">
            <v>231.27</v>
          </cell>
        </row>
        <row r="4">
          <cell r="A4">
            <v>5914647</v>
          </cell>
          <cell r="B4" t="str">
            <v>CARGA, MANOBRA E DESCARGA DE AGREGADOS OU SOLOS EM CAMINHÃO BASCULANTE DE 10 M³ - CARGA COM CARREGADEIRA DE 3,40 M³ (EXCLUSA) E DESCARGA LIVRE</v>
          </cell>
          <cell r="C4" t="str">
            <v>t</v>
          </cell>
          <cell r="D4">
            <v>457.16</v>
          </cell>
        </row>
        <row r="5">
          <cell r="A5">
            <v>5914648</v>
          </cell>
          <cell r="B5" t="str">
            <v>CARGA, MANOBRA E DESCARGA DE AGREGADOS OU SOLOS EM CAMINHÃO BASCULANTE DE 10 M³ - CARGA COM CARREGADEIRA DE 3,40 M³ (EXCLUSA) E DESCARGA EM DISTRIBUIDOR REBOCÁVEL</v>
          </cell>
          <cell r="C5" t="str">
            <v>t</v>
          </cell>
          <cell r="D5">
            <v>457.16</v>
          </cell>
        </row>
        <row r="6">
          <cell r="A6">
            <v>5914675</v>
          </cell>
          <cell r="B6" t="str">
            <v>CARGA, MANOBRA E DESCARGA DE MATERIAL DEMOLIDO EM CAMINHÃO BASCULANTE DE 6 M³ - CARGA COM CARREGADEIRA DE 1,72 M³ E DESCARGA LIVRE</v>
          </cell>
          <cell r="C6" t="str">
            <v>t</v>
          </cell>
          <cell r="D6">
            <v>186.89</v>
          </cell>
        </row>
        <row r="7">
          <cell r="A7">
            <v>5915433</v>
          </cell>
          <cell r="B7" t="str">
            <v>CARGA, MANOBRA E DESCARGA DE MATERIAL DEMOLIDO EM CAMINHÃO BASCULANTE DE 6 M³ - CARGA MANUAL E DESCARGA LIVRE</v>
          </cell>
          <cell r="C7" t="str">
            <v>t</v>
          </cell>
          <cell r="D7">
            <v>7.8466399999999998</v>
          </cell>
        </row>
        <row r="8">
          <cell r="A8">
            <v>5914333</v>
          </cell>
          <cell r="B8" t="str">
            <v>CARGA, MANOBRA E DESCARGA DE MATERIAIS DIVERSOS EM CAMINHÃO CARROCERIA DE 15 T - CARGA E DESCARGA COM CAMINHÃO GUINDAUTO DE 20 T.M</v>
          </cell>
          <cell r="C8" t="str">
            <v>t</v>
          </cell>
          <cell r="D8">
            <v>21.37</v>
          </cell>
        </row>
      </sheetData>
      <sheetData sheetId="24">
        <row r="1">
          <cell r="A1" t="str">
            <v>CÓDIGO</v>
          </cell>
          <cell r="B1" t="str">
            <v>PREÇO UNIT.</v>
          </cell>
        </row>
      </sheetData>
      <sheetData sheetId="25">
        <row r="1">
          <cell r="C1" t="str">
            <v>INSUMO</v>
          </cell>
          <cell r="D1" t="str">
            <v>DESCRIÇÃO</v>
          </cell>
          <cell r="E1" t="str">
            <v>UND</v>
          </cell>
          <cell r="F1" t="str">
            <v>PREÇO UNIT.</v>
          </cell>
        </row>
        <row r="2">
          <cell r="C2" t="str">
            <v>M1367 5914333</v>
          </cell>
          <cell r="D2" t="str">
            <v>CHAPA FINA EM AÇO GALVANIZADO - CAMINHÃO CARROCERIA 15 T</v>
          </cell>
          <cell r="E2" t="str">
            <v>t</v>
          </cell>
        </row>
        <row r="3">
          <cell r="C3" t="str">
            <v>M0082 5914647</v>
          </cell>
          <cell r="D3" t="str">
            <v>AREIA MÉDIA LAVADA - CAMINHÃO BASCULANTE 10 M³</v>
          </cell>
          <cell r="E3" t="str">
            <v>t</v>
          </cell>
        </row>
        <row r="4">
          <cell r="C4" t="str">
            <v>M1097 5914647</v>
          </cell>
          <cell r="D4" t="str">
            <v>PEDRA DE MÃO OU RACHÃO - CAMINHÃO BASCULANTE 10 M³</v>
          </cell>
          <cell r="E4" t="str">
            <v>t</v>
          </cell>
        </row>
        <row r="5">
          <cell r="C5" t="str">
            <v>M0191 5914647</v>
          </cell>
          <cell r="D5" t="str">
            <v>BRITA 1 - CAMINHÃO BASCULANTE 10 M³</v>
          </cell>
          <cell r="E5" t="str">
            <v>t</v>
          </cell>
        </row>
        <row r="6">
          <cell r="C6" t="str">
            <v>M0192 5914647</v>
          </cell>
          <cell r="D6" t="str">
            <v>BRITA 2 - CAMINHÃO BASCULANTE 10 M³</v>
          </cell>
          <cell r="E6" t="str">
            <v>t</v>
          </cell>
        </row>
        <row r="7">
          <cell r="C7" t="str">
            <v>M0005 5914648</v>
          </cell>
          <cell r="D7" t="str">
            <v>BRITA 0 - CAMINHÃO BASCULANTE 10 M³</v>
          </cell>
          <cell r="E7" t="str">
            <v>t</v>
          </cell>
        </row>
        <row r="8">
          <cell r="C8" t="str">
            <v>M0191 5914648</v>
          </cell>
          <cell r="D8" t="str">
            <v>BRITA 1 - CAMINHÃO BASCULANTE 10 M³</v>
          </cell>
          <cell r="E8" t="str">
            <v>t</v>
          </cell>
        </row>
        <row r="9">
          <cell r="C9" t="str">
            <v>M0075 5914655</v>
          </cell>
          <cell r="D9" t="str">
            <v>ARAME LISO RECOZIDO EM AÇO-CARBONO - D = 1,24 MM (18 BWG) - CAMINHÃO CARROCERIA 15 T</v>
          </cell>
          <cell r="E9" t="str">
            <v>t</v>
          </cell>
        </row>
        <row r="10">
          <cell r="C10" t="str">
            <v>M0004 5914655</v>
          </cell>
          <cell r="D10" t="str">
            <v>AÇO CA 50 - CAMINHÃO CARROCERIA 15 T</v>
          </cell>
          <cell r="E10" t="str">
            <v>t</v>
          </cell>
        </row>
        <row r="11">
          <cell r="C11" t="str">
            <v>M0014 5914655</v>
          </cell>
          <cell r="D11" t="str">
            <v>AÇO CA 60 - CAMINHÃO CARROCERIA 15 T</v>
          </cell>
          <cell r="E11" t="str">
            <v>t</v>
          </cell>
        </row>
        <row r="12">
          <cell r="C12" t="str">
            <v>M0284 5914655</v>
          </cell>
          <cell r="D12" t="str">
            <v>CAIBRO DE PINHO - L = 7,5 CM E E = 7,5 CM - CAMINHÃO CARROCERIA 15 T</v>
          </cell>
          <cell r="E12" t="str">
            <v>t</v>
          </cell>
        </row>
        <row r="13">
          <cell r="C13" t="str">
            <v>M1205 5914655</v>
          </cell>
          <cell r="D13" t="str">
            <v>PREGO DE FERRO - CAMINHÃO CARROCERIA 15 T</v>
          </cell>
          <cell r="E13" t="str">
            <v>t</v>
          </cell>
        </row>
        <row r="14">
          <cell r="C14" t="str">
            <v>M1358 5914655</v>
          </cell>
          <cell r="D14" t="str">
            <v>SARRAFO EM MADEIRA DE TERCEIRA - E = 2,5 CM E L = 5 CM - CAMINHÃO CARROCERIA 15 T</v>
          </cell>
          <cell r="E14" t="str">
            <v>t</v>
          </cell>
        </row>
        <row r="15">
          <cell r="C15" t="str">
            <v>M0286 5914655</v>
          </cell>
          <cell r="D15" t="str">
            <v>TÁBUA - E = 2,5 CM E L = 30 CM - CAMINHÃO CARROCERIA 15 T</v>
          </cell>
          <cell r="E15" t="str">
            <v>t</v>
          </cell>
        </row>
        <row r="16">
          <cell r="C16" t="str">
            <v>M0424 5914655</v>
          </cell>
          <cell r="D16" t="str">
            <v>CIMENTO PORTLAND CP II - 32 - SACO - CAMINHÃO CARROCERIA 15 T</v>
          </cell>
          <cell r="E16" t="str">
            <v>t</v>
          </cell>
        </row>
        <row r="17">
          <cell r="C17" t="str">
            <v>M0030 5914655</v>
          </cell>
          <cell r="D17" t="str">
            <v>ADITIVO PLASTIFICANTE E RETARDADOR DE PEGA PARA CONCRETO E ARGAMASSA - CAMINHÃO CARROCERIA 15 T</v>
          </cell>
          <cell r="E17" t="str">
            <v>t</v>
          </cell>
        </row>
        <row r="18">
          <cell r="C18" t="str">
            <v>M1429 5914655</v>
          </cell>
          <cell r="D18" t="str">
            <v>TÁBUA DE PINHO DE TERCEIRA - E = 2,5 CM - CAMINHÃO CARROCERIA 15 T</v>
          </cell>
          <cell r="E18" t="str">
            <v>t</v>
          </cell>
        </row>
        <row r="19">
          <cell r="C19" t="str">
            <v>M2158 5914655</v>
          </cell>
          <cell r="D19" t="str">
            <v>ARGAMASSA ASFÁLTICA - CAMINHÃO CARROCERIA 15 T</v>
          </cell>
          <cell r="E19" t="str">
            <v>t</v>
          </cell>
        </row>
        <row r="20">
          <cell r="C20" t="str">
            <v>M0156 5914655</v>
          </cell>
          <cell r="D20" t="str">
            <v>BLOCO DE CONCRETO - L = 19 CM, A = 19 CM E C = 39 CM - CAMINHÃO CARROCERIA 15 T</v>
          </cell>
          <cell r="E20" t="str">
            <v>t</v>
          </cell>
        </row>
        <row r="21">
          <cell r="C21" t="str">
            <v>M0285 5914655</v>
          </cell>
          <cell r="D21" t="str">
            <v>PONTALETE PARA ESCORAMENTO - D = 15 CM - CAMINHÃO CARROCERIA 15 T</v>
          </cell>
          <cell r="E21" t="str">
            <v>t</v>
          </cell>
        </row>
        <row r="22">
          <cell r="C22" t="str">
            <v>M0290 5914655</v>
          </cell>
          <cell r="D22" t="str">
            <v>TÁBUA - E = 2,5 CM E L = 10 CM - CAMINHÃO CARROCERIA 15 T</v>
          </cell>
          <cell r="E22" t="str">
            <v>t</v>
          </cell>
        </row>
        <row r="23">
          <cell r="C23" t="str">
            <v>M0289 5914655</v>
          </cell>
          <cell r="D23" t="str">
            <v>TÁBUA - E = 2,5 CM E L = 15 CM - CAMINHÃO CARROCERIA 15 T</v>
          </cell>
          <cell r="E23" t="str">
            <v>t</v>
          </cell>
        </row>
        <row r="24">
          <cell r="C24" t="str">
            <v>M0310 5914655</v>
          </cell>
          <cell r="D24" t="str">
            <v>PEÇA DE MADEIRA - L = 7,5 CM E E = 2,5 CM - CAMINHÃO CARROCERIA 15 T</v>
          </cell>
          <cell r="E24" t="str">
            <v>t</v>
          </cell>
        </row>
        <row r="25">
          <cell r="C25" t="str">
            <v>M0446 5914655</v>
          </cell>
          <cell r="D25" t="str">
            <v>COMPENSADO RESINADO - E = 10 MM - CAMINHÃO CARROCERIA 15 T</v>
          </cell>
          <cell r="E25" t="str">
            <v>t</v>
          </cell>
        </row>
        <row r="26">
          <cell r="C26" t="str">
            <v>M0448 5914655</v>
          </cell>
          <cell r="D26" t="str">
            <v>COMPENSADO RESINADO - E = 14 MM - CAMINHÃO CARROCERIA 15 T</v>
          </cell>
          <cell r="E26" t="str">
            <v>t</v>
          </cell>
        </row>
        <row r="27">
          <cell r="C27" t="str">
            <v>M0745 5914655</v>
          </cell>
          <cell r="D27" t="str">
            <v>GRAMPO EM AÇO GALVANIZADO PARA CERCA - C = 25,4 MM E E = 3,76 MM (1 X 9 BWG) - CAMINHÃO CARROCERIA 15 T</v>
          </cell>
          <cell r="E27" t="str">
            <v>t</v>
          </cell>
        </row>
        <row r="28">
          <cell r="C28" t="str">
            <v>M1176 5914655</v>
          </cell>
          <cell r="D28" t="str">
            <v>ARAME LISO EM AÇO GALVANIZADO - D = 1,65 MM (16 BWG) - CAMINHÃO CARROCERIA 15 T</v>
          </cell>
          <cell r="E28" t="str">
            <v>t</v>
          </cell>
        </row>
        <row r="29">
          <cell r="C29" t="str">
            <v>M1662 5914655</v>
          </cell>
          <cell r="D29" t="str">
            <v>SUPORTE EM MADEIRA DE EUCALIPTO TRATADO - SEÇÃO DE 8 X 8 CM - CAMINHÃO CARROCERIA 15 T</v>
          </cell>
          <cell r="E29" t="str">
            <v>t</v>
          </cell>
        </row>
        <row r="30">
          <cell r="C30" t="str">
            <v>4413995 5914655</v>
          </cell>
          <cell r="D30" t="str">
            <v>OBTENÇÃO DE GRAMA PARA REPLANTIO - CAMINHÃO CARROCERIA 15 T</v>
          </cell>
          <cell r="E30" t="str">
            <v>t</v>
          </cell>
        </row>
        <row r="31">
          <cell r="C31" t="str">
            <v>M0223 5914655</v>
          </cell>
          <cell r="D31" t="str">
            <v>SEMENTES PARA HIDROSSEMEADURA - CAMINHÃO CARROCERIA 15 T</v>
          </cell>
          <cell r="E31" t="str">
            <v>t</v>
          </cell>
        </row>
        <row r="32">
          <cell r="C32" t="str">
            <v>M3153 5914655</v>
          </cell>
          <cell r="D32" t="str">
            <v>TINTA EM PÓ À BASE DE RESINA POLIÉSTER - CAMINHÃO CARROCERIA 15 T</v>
          </cell>
          <cell r="E32" t="str">
            <v>t</v>
          </cell>
        </row>
        <row r="33">
          <cell r="C33" t="str">
            <v>M0220 5914655</v>
          </cell>
          <cell r="D33" t="str">
            <v>ADUBO À BASE DE NITROGÊNIO, FÓSFORO E POTÁSSIO (NPK) - CAMINHÃO CARROCERIA 15 T</v>
          </cell>
          <cell r="E33" t="str">
            <v>t</v>
          </cell>
        </row>
        <row r="34">
          <cell r="C34" t="str">
            <v>M1755 5914655</v>
          </cell>
          <cell r="D34" t="str">
            <v>PÓ CALCÁRIO DOLOMÍTICO - CAMINHÃO CARROCERIA 15 T</v>
          </cell>
          <cell r="E34" t="str">
            <v>t</v>
          </cell>
        </row>
        <row r="35">
          <cell r="C35" t="str">
            <v>M2041 5914655</v>
          </cell>
          <cell r="D35" t="str">
            <v>ADESIVO À BASE DE RESINA POLIÉSTER - CAMINHÃO CARROCERIA 15 T</v>
          </cell>
          <cell r="E35" t="str">
            <v>t</v>
          </cell>
        </row>
        <row r="36">
          <cell r="C36" t="str">
            <v>M3821 5914655</v>
          </cell>
          <cell r="D36" t="str">
            <v>TACHA REFLETIVA EM PLÁSTICO INJETADO BIDIRECIONAL COM UM PINO - TIPO I - CAMINHÃO CARROCERIA 15 T</v>
          </cell>
          <cell r="E36" t="str">
            <v>t</v>
          </cell>
        </row>
        <row r="37">
          <cell r="C37" t="str">
            <v>M3867 5914655</v>
          </cell>
          <cell r="D37" t="str">
            <v>TACHÃO REFLETIVO EM PLÁSTICO INJETADO BIDIRECIONAL - CAMINHÃO CARROCERIA 15 T</v>
          </cell>
          <cell r="E37" t="str">
            <v>t</v>
          </cell>
        </row>
        <row r="38">
          <cell r="C38" t="str">
            <v>M0786 5914655</v>
          </cell>
          <cell r="D38" t="str">
            <v>PLACA DE POLIESTIRENO EXPANDIDO (EPS) - CAMINHÃO CARROCERIA 15 T</v>
          </cell>
          <cell r="E38" t="str">
            <v>t</v>
          </cell>
        </row>
        <row r="39">
          <cell r="C39" t="str">
            <v>M1638 5914655</v>
          </cell>
          <cell r="D39" t="str">
            <v>MOURÃO DE MADEIRA - H = 2,10 M E D = 0,10 M - CAMINHÃO CARROCERIA 15 T</v>
          </cell>
          <cell r="E39" t="str">
            <v>t</v>
          </cell>
        </row>
        <row r="40">
          <cell r="C40" t="str">
            <v>M1639 5914655</v>
          </cell>
          <cell r="D40" t="str">
            <v>MOURÃO DE MADEIRA - H = 2,20 M E D = 0,15 M - CAMINHÃO CARROCERIA 15 T</v>
          </cell>
          <cell r="E40" t="str">
            <v>t</v>
          </cell>
        </row>
        <row r="41">
          <cell r="C41" t="str">
            <v>M0560 5914655</v>
          </cell>
          <cell r="D41" t="str">
            <v>DESMOLDANTE PARA FÔRMAS DE MADEIRA - CAMINHÃO CARROCERIA 15 T</v>
          </cell>
          <cell r="E41" t="str">
            <v>t</v>
          </cell>
        </row>
        <row r="42">
          <cell r="C42" t="str">
            <v>M0225 5914655</v>
          </cell>
          <cell r="D42" t="str">
            <v>ADUBO ORGÂNICO COMPOSTO - CAMINHÃO CARROCERIA 15 T</v>
          </cell>
          <cell r="E42" t="str">
            <v>t</v>
          </cell>
        </row>
        <row r="43">
          <cell r="C43" t="str">
            <v>M1000 5914655</v>
          </cell>
          <cell r="D43" t="str">
            <v>TELA EM AÇO GALVANIZADO PARA ALAMBRADO - E = 1,64 MM (BWG 16) E MALHA DE 50 MM - CAMINHÃO CARROCERIA 15 T</v>
          </cell>
          <cell r="E43" t="str">
            <v>t</v>
          </cell>
        </row>
        <row r="44">
          <cell r="C44" t="str">
            <v>M0050 5914655</v>
          </cell>
          <cell r="D44" t="str">
            <v>ADITIVO NATURAL TIPO GOMA XANTANA PARA HIDROSSEMEADURA - CAMINHÃO CARROCERIA 15 T</v>
          </cell>
          <cell r="E44" t="str">
            <v>t</v>
          </cell>
        </row>
        <row r="45">
          <cell r="C45" t="str">
            <v>M1756 5914655</v>
          </cell>
          <cell r="D45" t="str">
            <v>MATERIAL FORMADOR DE CAMADA PROTETORA PARA HIDROSSEMEADURA - CAMINHÃO CARROCERIA 15 T</v>
          </cell>
          <cell r="E45" t="str">
            <v>t</v>
          </cell>
        </row>
        <row r="46">
          <cell r="C46" t="str">
            <v>M2128 5914655</v>
          </cell>
          <cell r="D46" t="str">
            <v>TINTA ESMALTE SINTÉTICO ACETINADO - CAMINHÃO CARROCERIA 15 T</v>
          </cell>
          <cell r="E46" t="str">
            <v>t</v>
          </cell>
        </row>
        <row r="47">
          <cell r="C47" t="str">
            <v>M3235 5914655</v>
          </cell>
          <cell r="D47" t="str">
            <v>PELÍCULA RETRORREFLETIVA TIPO I - CAMINHÃO CARROCERIA 15 T</v>
          </cell>
          <cell r="E47" t="str">
            <v>t</v>
          </cell>
        </row>
        <row r="48">
          <cell r="C48" t="str">
            <v>M2037 5914655</v>
          </cell>
          <cell r="D48" t="str">
            <v>MICROESFERAS REFLETIVAS DE VIDRO TIPO I-B - CAMINHÃO CARROCERIA 15 T</v>
          </cell>
          <cell r="E48" t="str">
            <v>t</v>
          </cell>
        </row>
        <row r="49">
          <cell r="C49" t="str">
            <v>M2038 5914655</v>
          </cell>
          <cell r="D49" t="str">
            <v>MICROESFERAS REFLETIVAS DE VIDRO TIPO II-A - CAMINHÃO CARROCERIA 15 T</v>
          </cell>
          <cell r="E49" t="str">
            <v>t</v>
          </cell>
        </row>
        <row r="50">
          <cell r="C50" t="str">
            <v>M2036 5914655</v>
          </cell>
          <cell r="D50" t="str">
            <v>TINTA À BASE DE RESINA ACRÍLICA EMULSIONADA EM ÁGUA PARA DEMARCAÇÃO VIÁRIA - CAMINHÃO CARROCERIA 15 T</v>
          </cell>
          <cell r="E50" t="str">
            <v>t</v>
          </cell>
        </row>
        <row r="51">
          <cell r="C51" t="str">
            <v>M0789 5914655</v>
          </cell>
          <cell r="D51" t="str">
            <v>CONJUNTO PARA FIXAÇÃO DE PLACAS EM AÇO GALVANIZADO COMPOSTO POR BARRA CHATA, ABRAÇADEIRA, PARAFUSOS, PORCAS E ARRUELAS - CAMINHÃO CARROCERIA 15 T</v>
          </cell>
          <cell r="E51" t="str">
            <v>t</v>
          </cell>
        </row>
        <row r="52">
          <cell r="C52" t="str">
            <v>M3237 5914655</v>
          </cell>
          <cell r="D52" t="str">
            <v>PELÍCULA RETRORREFLETIVA TIPO III - CAMINHÃO CARROCERIA 15 T</v>
          </cell>
          <cell r="E52" t="str">
            <v>t</v>
          </cell>
        </row>
        <row r="53">
          <cell r="C53" t="str">
            <v>M3238 5914655</v>
          </cell>
          <cell r="D53" t="str">
            <v>PELÍCULA NÃO RETRORREFLETIVA TIPO IV - CAMINHÃO CARROCERIA 15 T</v>
          </cell>
          <cell r="E53" t="str">
            <v>t</v>
          </cell>
        </row>
        <row r="54">
          <cell r="C54" t="str">
            <v>M3229 5914655</v>
          </cell>
          <cell r="D54" t="str">
            <v>PELÍCULA RETRORREFLETIVA TIPO I + SI (SINAL IMPRESSO COM PELÍCULA DE SOBREPOSIÇÃO TIPO V) - CAMINHÃO CARROCERIA 15 T</v>
          </cell>
          <cell r="E54" t="str">
            <v>t</v>
          </cell>
        </row>
        <row r="55">
          <cell r="C55" t="str">
            <v>M3507 5914675</v>
          </cell>
          <cell r="D55" t="str">
            <v>REVESTIMENTO ASFÁLTICO - CAMINHÃO BASCULANTE 6 M³</v>
          </cell>
          <cell r="E55" t="str">
            <v>t</v>
          </cell>
        </row>
        <row r="56">
          <cell r="C56" t="str">
            <v>M3505 5914675</v>
          </cell>
          <cell r="D56" t="str">
            <v>MATERIAL DEMOLIDO - CONCRETO SIMPLES - CAMINHÃO BASCULANTE 6 M³</v>
          </cell>
          <cell r="E56" t="str">
            <v>t</v>
          </cell>
        </row>
        <row r="57">
          <cell r="C57" t="str">
            <v>M3508 5915399</v>
          </cell>
          <cell r="D57" t="str">
            <v>CAMADA GRANULAR (BASE OU SUB-BASE) - CAMINHÃO BASCULANTE 6 M³</v>
          </cell>
          <cell r="E57" t="str">
            <v>t</v>
          </cell>
        </row>
        <row r="58">
          <cell r="C58" t="str">
            <v>M3505 5915433</v>
          </cell>
          <cell r="D58" t="str">
            <v>MATERIAL DEMOLIDO - CONCRETO SIMPLES - CAMINHÃO BASCULANTE 6 M³</v>
          </cell>
          <cell r="E58" t="str">
            <v>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Z77"/>
  <sheetViews>
    <sheetView showGridLines="0" showZeros="0" tabSelected="1" view="pageBreakPreview" zoomScaleNormal="100" zoomScaleSheetLayoutView="100" workbookViewId="0">
      <selection activeCell="N21" sqref="N21"/>
    </sheetView>
  </sheetViews>
  <sheetFormatPr defaultRowHeight="12.75" x14ac:dyDescent="0.2"/>
  <cols>
    <col min="1" max="1" width="18.7109375" style="1" customWidth="1"/>
    <col min="2" max="2" width="9.42578125" style="1" customWidth="1"/>
    <col min="3" max="3" width="10.42578125" style="2" customWidth="1"/>
    <col min="4" max="4" width="5.42578125" style="2" customWidth="1"/>
    <col min="5" max="10" width="11.7109375" style="2" customWidth="1"/>
    <col min="11" max="11" width="12" style="2" customWidth="1"/>
    <col min="12" max="26" width="9.140625" style="55"/>
    <col min="27" max="16384" width="9.140625" style="1"/>
  </cols>
  <sheetData>
    <row r="1" spans="1:16" ht="13.5" customHeight="1" x14ac:dyDescent="0.2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1"/>
    </row>
    <row r="2" spans="1:16" x14ac:dyDescent="0.2">
      <c r="A2" s="142"/>
      <c r="B2" s="143"/>
      <c r="C2" s="143"/>
      <c r="D2" s="143"/>
      <c r="E2" s="143"/>
      <c r="F2" s="143"/>
      <c r="G2" s="143"/>
      <c r="H2" s="143"/>
      <c r="I2" s="143"/>
      <c r="J2" s="143"/>
      <c r="K2" s="144"/>
    </row>
    <row r="3" spans="1:16" x14ac:dyDescent="0.2">
      <c r="A3" s="142"/>
      <c r="B3" s="143"/>
      <c r="C3" s="143"/>
      <c r="D3" s="143"/>
      <c r="E3" s="143"/>
      <c r="F3" s="143"/>
      <c r="G3" s="143"/>
      <c r="H3" s="143"/>
      <c r="I3" s="143"/>
      <c r="J3" s="143"/>
      <c r="K3" s="144"/>
    </row>
    <row r="4" spans="1:16" ht="12.75" customHeight="1" x14ac:dyDescent="0.2">
      <c r="A4" s="145"/>
      <c r="B4" s="146"/>
      <c r="C4" s="146"/>
      <c r="D4" s="146"/>
      <c r="E4" s="146"/>
      <c r="F4" s="146"/>
      <c r="G4" s="146"/>
      <c r="H4" s="146"/>
      <c r="I4" s="146"/>
      <c r="J4" s="146"/>
      <c r="K4" s="147"/>
    </row>
    <row r="5" spans="1:16" ht="12.75" customHeight="1" x14ac:dyDescent="0.2">
      <c r="A5" s="115" t="s">
        <v>39</v>
      </c>
      <c r="B5" s="116"/>
      <c r="C5" s="164" t="s">
        <v>1</v>
      </c>
      <c r="D5" s="165"/>
      <c r="E5" s="165"/>
      <c r="F5" s="165"/>
      <c r="G5" s="165"/>
      <c r="H5" s="165"/>
      <c r="I5" s="166"/>
      <c r="J5" s="13" t="s">
        <v>2</v>
      </c>
      <c r="K5" s="70" t="s">
        <v>42</v>
      </c>
    </row>
    <row r="6" spans="1:16" ht="12.75" customHeight="1" x14ac:dyDescent="0.2">
      <c r="A6" s="117"/>
      <c r="B6" s="118"/>
      <c r="C6" s="127"/>
      <c r="D6" s="127"/>
      <c r="E6" s="127"/>
      <c r="F6" s="127"/>
      <c r="G6" s="127"/>
      <c r="H6" s="127"/>
      <c r="I6" s="128"/>
      <c r="J6" s="15" t="s">
        <v>3</v>
      </c>
      <c r="K6" s="14"/>
      <c r="N6"/>
      <c r="O6" s="55" t="str">
        <f>TRIM(A6)</f>
        <v/>
      </c>
      <c r="P6" s="71" t="str">
        <f>K77</f>
        <v/>
      </c>
    </row>
    <row r="7" spans="1:16" ht="20.25" customHeight="1" x14ac:dyDescent="0.2">
      <c r="A7" s="135" t="s">
        <v>18</v>
      </c>
      <c r="B7" s="136"/>
      <c r="C7" s="97"/>
      <c r="D7" s="97"/>
      <c r="E7" s="137"/>
      <c r="F7" s="3" t="s">
        <v>4</v>
      </c>
      <c r="G7" s="133" t="s">
        <v>5</v>
      </c>
      <c r="H7" s="134"/>
      <c r="I7" s="126" t="s">
        <v>6</v>
      </c>
      <c r="J7" s="126"/>
      <c r="K7" s="124" t="s">
        <v>16</v>
      </c>
    </row>
    <row r="8" spans="1:16" ht="25.5" customHeight="1" x14ac:dyDescent="0.2">
      <c r="A8" s="135"/>
      <c r="B8" s="136"/>
      <c r="C8" s="136"/>
      <c r="D8" s="136"/>
      <c r="E8" s="138"/>
      <c r="F8" s="3"/>
      <c r="G8" s="3" t="s">
        <v>17</v>
      </c>
      <c r="H8" s="48" t="s">
        <v>7</v>
      </c>
      <c r="I8" s="3" t="s">
        <v>38</v>
      </c>
      <c r="J8" s="3" t="s">
        <v>7</v>
      </c>
      <c r="K8" s="125"/>
    </row>
    <row r="9" spans="1:16" x14ac:dyDescent="0.2">
      <c r="A9" s="6"/>
      <c r="B9" s="41"/>
      <c r="C9" s="16"/>
      <c r="D9" s="16"/>
      <c r="E9" s="54"/>
      <c r="F9" s="80"/>
      <c r="G9" s="80"/>
      <c r="H9" s="81"/>
      <c r="I9" s="58" t="str">
        <f t="shared" ref="I9:J16" si="0">M9</f>
        <v/>
      </c>
      <c r="J9" s="58" t="str">
        <f t="shared" si="0"/>
        <v/>
      </c>
      <c r="K9" s="72" t="str">
        <f>IFERROR((I9*G9+J9*H9)*F9,"")</f>
        <v/>
      </c>
      <c r="L9" s="55" t="str">
        <f>TRIM(A9)</f>
        <v/>
      </c>
      <c r="M9" s="55" t="str">
        <f>IFERROR(VLOOKUP(L9,[1]EQUIPAMENTOS!$A:$E,4,FALSE),"")</f>
        <v/>
      </c>
      <c r="N9" s="55" t="str">
        <f>IFERROR(VLOOKUP(L9,[1]EQUIPAMENTOS!$A:$E,5,FALSE),"")</f>
        <v/>
      </c>
    </row>
    <row r="10" spans="1:16" x14ac:dyDescent="0.2">
      <c r="A10" s="7"/>
      <c r="B10" s="42"/>
      <c r="C10" s="18"/>
      <c r="D10" s="18"/>
      <c r="E10" s="52"/>
      <c r="F10" s="82"/>
      <c r="G10" s="83"/>
      <c r="H10" s="84"/>
      <c r="I10" s="59" t="str">
        <f t="shared" si="0"/>
        <v/>
      </c>
      <c r="J10" s="59" t="str">
        <f t="shared" si="0"/>
        <v/>
      </c>
      <c r="K10" s="73" t="str">
        <f t="shared" ref="K10:K16" si="1">IFERROR((I10*G10+J10*H10)*F10,"")</f>
        <v/>
      </c>
      <c r="L10" s="55" t="str">
        <f t="shared" ref="L10:L16" si="2">TRIM(A10)</f>
        <v/>
      </c>
      <c r="M10" s="55" t="str">
        <f>IFERROR(VLOOKUP(L10,[1]EQUIPAMENTOS!$A:$E,4,FALSE),"")</f>
        <v/>
      </c>
      <c r="N10" s="55" t="str">
        <f>IFERROR(VLOOKUP(L10,[1]EQUIPAMENTOS!$A:$E,5,FALSE),"")</f>
        <v/>
      </c>
    </row>
    <row r="11" spans="1:16" x14ac:dyDescent="0.2">
      <c r="A11" s="7"/>
      <c r="B11" s="42"/>
      <c r="C11" s="18"/>
      <c r="D11" s="18"/>
      <c r="E11" s="52"/>
      <c r="F11" s="82"/>
      <c r="G11" s="83"/>
      <c r="H11" s="84"/>
      <c r="I11" s="59" t="str">
        <f t="shared" si="0"/>
        <v/>
      </c>
      <c r="J11" s="59" t="str">
        <f t="shared" si="0"/>
        <v/>
      </c>
      <c r="K11" s="73" t="str">
        <f t="shared" si="1"/>
        <v/>
      </c>
      <c r="L11" s="55" t="str">
        <f t="shared" si="2"/>
        <v/>
      </c>
      <c r="M11" s="55" t="str">
        <f>IFERROR(VLOOKUP(L11,[1]EQUIPAMENTOS!$A:$E,4,FALSE),"")</f>
        <v/>
      </c>
      <c r="N11" s="55" t="str">
        <f>IFERROR(VLOOKUP(L11,[1]EQUIPAMENTOS!$A:$E,5,FALSE),"")</f>
        <v/>
      </c>
    </row>
    <row r="12" spans="1:16" x14ac:dyDescent="0.2">
      <c r="A12" s="7"/>
      <c r="B12" s="42"/>
      <c r="C12" s="18"/>
      <c r="D12" s="18"/>
      <c r="E12" s="52"/>
      <c r="F12" s="82"/>
      <c r="G12" s="83"/>
      <c r="H12" s="84"/>
      <c r="I12" s="59" t="str">
        <f t="shared" si="0"/>
        <v/>
      </c>
      <c r="J12" s="59" t="str">
        <f t="shared" si="0"/>
        <v/>
      </c>
      <c r="K12" s="73" t="str">
        <f t="shared" si="1"/>
        <v/>
      </c>
      <c r="L12" s="55" t="str">
        <f t="shared" si="2"/>
        <v/>
      </c>
      <c r="M12" s="55" t="str">
        <f>IFERROR(VLOOKUP(L12,[1]EQUIPAMENTOS!$A:$E,4,FALSE),"")</f>
        <v/>
      </c>
      <c r="N12" s="55" t="str">
        <f>IFERROR(VLOOKUP(L12,[1]EQUIPAMENTOS!$A:$E,5,FALSE),"")</f>
        <v/>
      </c>
    </row>
    <row r="13" spans="1:16" x14ac:dyDescent="0.2">
      <c r="A13" s="7"/>
      <c r="B13" s="42"/>
      <c r="C13" s="18"/>
      <c r="D13" s="18"/>
      <c r="E13" s="52"/>
      <c r="F13" s="82"/>
      <c r="G13" s="83"/>
      <c r="H13" s="84"/>
      <c r="I13" s="59" t="str">
        <f t="shared" si="0"/>
        <v/>
      </c>
      <c r="J13" s="59" t="str">
        <f t="shared" si="0"/>
        <v/>
      </c>
      <c r="K13" s="73" t="str">
        <f t="shared" si="1"/>
        <v/>
      </c>
      <c r="L13" s="55" t="str">
        <f t="shared" si="2"/>
        <v/>
      </c>
      <c r="M13" s="55" t="str">
        <f>IFERROR(VLOOKUP(L13,[1]EQUIPAMENTOS!$A:$E,4,FALSE),"")</f>
        <v/>
      </c>
      <c r="N13" s="55" t="str">
        <f>IFERROR(VLOOKUP(L13,[1]EQUIPAMENTOS!$A:$E,5,FALSE),"")</f>
        <v/>
      </c>
    </row>
    <row r="14" spans="1:16" x14ac:dyDescent="0.2">
      <c r="A14" s="7"/>
      <c r="B14" s="42"/>
      <c r="C14" s="18"/>
      <c r="D14" s="18"/>
      <c r="E14" s="52"/>
      <c r="F14" s="82"/>
      <c r="G14" s="83"/>
      <c r="H14" s="84"/>
      <c r="I14" s="59" t="str">
        <f t="shared" si="0"/>
        <v/>
      </c>
      <c r="J14" s="59" t="str">
        <f t="shared" si="0"/>
        <v/>
      </c>
      <c r="K14" s="73" t="str">
        <f t="shared" si="1"/>
        <v/>
      </c>
      <c r="L14" s="55" t="str">
        <f t="shared" si="2"/>
        <v/>
      </c>
      <c r="M14" s="55" t="str">
        <f>IFERROR(VLOOKUP(L14,[1]EQUIPAMENTOS!$A:$E,4,FALSE),"")</f>
        <v/>
      </c>
      <c r="N14" s="55" t="str">
        <f>IFERROR(VLOOKUP(L14,[1]EQUIPAMENTOS!$A:$E,5,FALSE),"")</f>
        <v/>
      </c>
    </row>
    <row r="15" spans="1:16" x14ac:dyDescent="0.2">
      <c r="A15" s="7"/>
      <c r="B15" s="42"/>
      <c r="C15" s="18"/>
      <c r="D15" s="18"/>
      <c r="E15" s="52"/>
      <c r="F15" s="82"/>
      <c r="G15" s="83"/>
      <c r="H15" s="84"/>
      <c r="I15" s="59" t="str">
        <f t="shared" si="0"/>
        <v/>
      </c>
      <c r="J15" s="59" t="str">
        <f t="shared" si="0"/>
        <v/>
      </c>
      <c r="K15" s="73" t="str">
        <f t="shared" si="1"/>
        <v/>
      </c>
      <c r="L15" s="55" t="str">
        <f t="shared" si="2"/>
        <v/>
      </c>
      <c r="M15" s="55" t="str">
        <f>IFERROR(VLOOKUP(L15,[1]EQUIPAMENTOS!$A:$E,4,FALSE),"")</f>
        <v/>
      </c>
      <c r="N15" s="55" t="str">
        <f>IFERROR(VLOOKUP(L15,[1]EQUIPAMENTOS!$A:$E,5,FALSE),"")</f>
        <v/>
      </c>
    </row>
    <row r="16" spans="1:16" x14ac:dyDescent="0.2">
      <c r="A16" s="8"/>
      <c r="B16" s="43"/>
      <c r="C16" s="20"/>
      <c r="D16" s="20"/>
      <c r="E16" s="53"/>
      <c r="F16" s="85"/>
      <c r="G16" s="86"/>
      <c r="H16" s="87"/>
      <c r="I16" s="60" t="str">
        <f t="shared" si="0"/>
        <v/>
      </c>
      <c r="J16" s="60" t="str">
        <f t="shared" si="0"/>
        <v/>
      </c>
      <c r="K16" s="74" t="str">
        <f t="shared" si="1"/>
        <v/>
      </c>
      <c r="L16" s="55" t="str">
        <f t="shared" si="2"/>
        <v/>
      </c>
      <c r="M16" s="55" t="str">
        <f>IFERROR(VLOOKUP(L16,[1]EQUIPAMENTOS!$A:$E,4,FALSE),"")</f>
        <v/>
      </c>
      <c r="N16" s="55" t="str">
        <f>IFERROR(VLOOKUP(L16,[1]EQUIPAMENTOS!$A:$E,5,FALSE),"")</f>
        <v/>
      </c>
    </row>
    <row r="17" spans="1:13" x14ac:dyDescent="0.2">
      <c r="A17" s="119" t="s">
        <v>23</v>
      </c>
      <c r="B17" s="120"/>
      <c r="C17" s="120"/>
      <c r="D17" s="120"/>
      <c r="E17" s="120"/>
      <c r="F17" s="113"/>
      <c r="G17" s="113"/>
      <c r="H17" s="113"/>
      <c r="I17" s="113"/>
      <c r="J17" s="114"/>
      <c r="K17" s="75">
        <f>SUM(K9:K16)</f>
        <v>0</v>
      </c>
    </row>
    <row r="18" spans="1:13" ht="13.5" customHeight="1" x14ac:dyDescent="0.2">
      <c r="A18" s="45" t="s">
        <v>19</v>
      </c>
      <c r="B18" s="26"/>
      <c r="C18" s="26"/>
      <c r="D18" s="26"/>
      <c r="E18" s="26"/>
      <c r="F18" s="4"/>
      <c r="G18" s="4"/>
      <c r="H18" s="131" t="s">
        <v>4</v>
      </c>
      <c r="I18" s="162" t="s">
        <v>10</v>
      </c>
      <c r="J18" s="124" t="s">
        <v>8</v>
      </c>
      <c r="K18" s="129" t="s">
        <v>16</v>
      </c>
    </row>
    <row r="19" spans="1:13" ht="29.25" customHeight="1" x14ac:dyDescent="0.2">
      <c r="A19" s="27"/>
      <c r="B19" s="28"/>
      <c r="C19" s="28"/>
      <c r="D19" s="28"/>
      <c r="E19" s="28"/>
      <c r="F19" s="5"/>
      <c r="G19" s="29"/>
      <c r="H19" s="132"/>
      <c r="I19" s="163"/>
      <c r="J19" s="125"/>
      <c r="K19" s="130"/>
    </row>
    <row r="20" spans="1:13" x14ac:dyDescent="0.2">
      <c r="A20" s="6"/>
      <c r="B20" s="41"/>
      <c r="C20" s="16"/>
      <c r="D20" s="16"/>
      <c r="E20" s="16"/>
      <c r="F20" s="16"/>
      <c r="G20" s="18"/>
      <c r="H20" s="83"/>
      <c r="I20" s="61"/>
      <c r="J20" s="59" t="str">
        <f t="shared" ref="J20:J27" si="3">M20</f>
        <v/>
      </c>
      <c r="K20" s="76" t="str">
        <f>IFERROR(J20*H20,"")</f>
        <v/>
      </c>
      <c r="L20" s="55" t="str">
        <f t="shared" ref="L20:L27" si="4">TRIM(A20)</f>
        <v/>
      </c>
      <c r="M20" s="55" t="str">
        <f>IFERROR(VLOOKUP(L20,[1]MAO_DE_OBRA!$A:$D,4,FALSE),"")</f>
        <v/>
      </c>
    </row>
    <row r="21" spans="1:13" x14ac:dyDescent="0.2">
      <c r="A21" s="7"/>
      <c r="B21" s="42"/>
      <c r="C21" s="18"/>
      <c r="D21" s="18"/>
      <c r="E21" s="18"/>
      <c r="F21" s="18"/>
      <c r="G21" s="18"/>
      <c r="H21" s="83"/>
      <c r="I21" s="61"/>
      <c r="J21" s="59" t="str">
        <f t="shared" si="3"/>
        <v/>
      </c>
      <c r="K21" s="76" t="str">
        <f t="shared" ref="K21:K27" si="5">IFERROR(J21*H21,"")</f>
        <v/>
      </c>
      <c r="L21" s="55" t="str">
        <f t="shared" si="4"/>
        <v/>
      </c>
      <c r="M21" s="55" t="str">
        <f>IFERROR(VLOOKUP(L21,[1]MAO_DE_OBRA!$A:$D,4,FALSE),"")</f>
        <v/>
      </c>
    </row>
    <row r="22" spans="1:13" x14ac:dyDescent="0.2">
      <c r="A22" s="7"/>
      <c r="B22" s="42"/>
      <c r="C22" s="18"/>
      <c r="D22" s="18"/>
      <c r="E22" s="18"/>
      <c r="F22" s="18"/>
      <c r="G22" s="18"/>
      <c r="H22" s="83"/>
      <c r="I22" s="61"/>
      <c r="J22" s="59" t="str">
        <f t="shared" si="3"/>
        <v/>
      </c>
      <c r="K22" s="76" t="str">
        <f t="shared" si="5"/>
        <v/>
      </c>
      <c r="L22" s="55" t="str">
        <f t="shared" si="4"/>
        <v/>
      </c>
      <c r="M22" s="55" t="str">
        <f>IFERROR(VLOOKUP(L22,[1]MAO_DE_OBRA!$A:$D,4,FALSE),"")</f>
        <v/>
      </c>
    </row>
    <row r="23" spans="1:13" x14ac:dyDescent="0.2">
      <c r="A23" s="7"/>
      <c r="B23" s="42"/>
      <c r="C23" s="18"/>
      <c r="D23" s="18"/>
      <c r="E23" s="18"/>
      <c r="F23" s="18"/>
      <c r="G23" s="18"/>
      <c r="H23" s="83"/>
      <c r="I23" s="61"/>
      <c r="J23" s="59" t="str">
        <f t="shared" si="3"/>
        <v/>
      </c>
      <c r="K23" s="76" t="str">
        <f t="shared" si="5"/>
        <v/>
      </c>
      <c r="L23" s="55" t="str">
        <f t="shared" si="4"/>
        <v/>
      </c>
      <c r="M23" s="55" t="str">
        <f>IFERROR(VLOOKUP(L23,[1]MAO_DE_OBRA!$A:$D,4,FALSE),"")</f>
        <v/>
      </c>
    </row>
    <row r="24" spans="1:13" x14ac:dyDescent="0.2">
      <c r="A24" s="7"/>
      <c r="B24" s="42"/>
      <c r="C24" s="18"/>
      <c r="D24" s="18"/>
      <c r="E24" s="18"/>
      <c r="F24" s="18"/>
      <c r="G24" s="18"/>
      <c r="H24" s="83"/>
      <c r="I24" s="61"/>
      <c r="J24" s="59" t="str">
        <f t="shared" si="3"/>
        <v/>
      </c>
      <c r="K24" s="76" t="str">
        <f t="shared" si="5"/>
        <v/>
      </c>
      <c r="L24" s="55" t="str">
        <f t="shared" si="4"/>
        <v/>
      </c>
      <c r="M24" s="55" t="str">
        <f>IFERROR(VLOOKUP(L24,[1]MAO_DE_OBRA!$A:$D,4,FALSE),"")</f>
        <v/>
      </c>
    </row>
    <row r="25" spans="1:13" x14ac:dyDescent="0.2">
      <c r="A25" s="7"/>
      <c r="B25" s="42"/>
      <c r="C25" s="18"/>
      <c r="D25" s="18"/>
      <c r="E25" s="18"/>
      <c r="F25" s="18"/>
      <c r="G25" s="18"/>
      <c r="H25" s="83"/>
      <c r="I25" s="61"/>
      <c r="J25" s="59" t="str">
        <f t="shared" si="3"/>
        <v/>
      </c>
      <c r="K25" s="76" t="str">
        <f t="shared" si="5"/>
        <v/>
      </c>
      <c r="L25" s="55" t="str">
        <f t="shared" si="4"/>
        <v/>
      </c>
      <c r="M25" s="55" t="str">
        <f>IFERROR(VLOOKUP(L25,[1]MAO_DE_OBRA!$A:$D,4,FALSE),"")</f>
        <v/>
      </c>
    </row>
    <row r="26" spans="1:13" x14ac:dyDescent="0.2">
      <c r="A26" s="7"/>
      <c r="B26" s="42"/>
      <c r="C26" s="18"/>
      <c r="D26" s="18"/>
      <c r="E26" s="18"/>
      <c r="F26" s="18"/>
      <c r="G26" s="18"/>
      <c r="H26" s="83"/>
      <c r="I26" s="61"/>
      <c r="J26" s="59" t="str">
        <f t="shared" si="3"/>
        <v/>
      </c>
      <c r="K26" s="76" t="str">
        <f t="shared" si="5"/>
        <v/>
      </c>
      <c r="L26" s="55" t="str">
        <f t="shared" si="4"/>
        <v/>
      </c>
      <c r="M26" s="55" t="str">
        <f>IFERROR(VLOOKUP(L26,[1]MAO_DE_OBRA!$A:$D,4,FALSE),"")</f>
        <v/>
      </c>
    </row>
    <row r="27" spans="1:13" x14ac:dyDescent="0.2">
      <c r="A27" s="8"/>
      <c r="B27" s="43"/>
      <c r="C27" s="20"/>
      <c r="D27" s="20"/>
      <c r="E27" s="20"/>
      <c r="F27" s="20"/>
      <c r="G27" s="20"/>
      <c r="H27" s="86"/>
      <c r="I27" s="62"/>
      <c r="J27" s="60" t="str">
        <f t="shared" si="3"/>
        <v/>
      </c>
      <c r="K27" s="76" t="str">
        <f t="shared" si="5"/>
        <v/>
      </c>
      <c r="L27" s="55" t="str">
        <f t="shared" si="4"/>
        <v/>
      </c>
      <c r="M27" s="55" t="str">
        <f>IFERROR(VLOOKUP(L27,[1]MAO_DE_OBRA!$A:$D,4,FALSE),"")</f>
        <v/>
      </c>
    </row>
    <row r="28" spans="1:13" x14ac:dyDescent="0.2">
      <c r="A28" s="10"/>
      <c r="C28" s="39"/>
      <c r="D28" s="112" t="s">
        <v>24</v>
      </c>
      <c r="E28" s="113"/>
      <c r="F28" s="113"/>
      <c r="G28" s="113"/>
      <c r="H28" s="113"/>
      <c r="I28" s="113"/>
      <c r="J28" s="114"/>
      <c r="K28" s="77">
        <f>SUM(K20:K27)</f>
        <v>0</v>
      </c>
    </row>
    <row r="29" spans="1:13" x14ac:dyDescent="0.2">
      <c r="A29" s="9" t="s">
        <v>26</v>
      </c>
      <c r="B29" s="44"/>
      <c r="C29" s="25" t="e">
        <f>VLOOKUP(O6,[1]PRODUTIVIDADE!$A:$D,4,FALSE)</f>
        <v>#N/A</v>
      </c>
      <c r="D29" s="121" t="s">
        <v>25</v>
      </c>
      <c r="E29" s="122"/>
      <c r="F29" s="122"/>
      <c r="G29" s="122"/>
      <c r="H29" s="122"/>
      <c r="I29" s="122"/>
      <c r="J29" s="123"/>
      <c r="K29" s="77">
        <f>K28+K17</f>
        <v>0</v>
      </c>
    </row>
    <row r="30" spans="1:13" x14ac:dyDescent="0.2">
      <c r="A30" s="46"/>
      <c r="D30" s="93" t="s">
        <v>27</v>
      </c>
      <c r="E30" s="94"/>
      <c r="F30" s="94"/>
      <c r="G30" s="94"/>
      <c r="H30" s="94"/>
      <c r="I30" s="94"/>
      <c r="J30" s="95"/>
      <c r="K30" s="88" t="str">
        <f>IFERROR(K29/C29,"")</f>
        <v/>
      </c>
    </row>
    <row r="31" spans="1:13" ht="15.75" customHeight="1" x14ac:dyDescent="0.2">
      <c r="A31" s="96" t="s">
        <v>20</v>
      </c>
      <c r="B31" s="97"/>
      <c r="C31" s="97"/>
      <c r="D31" s="97"/>
      <c r="E31" s="97"/>
      <c r="F31" s="102"/>
      <c r="G31" s="104" t="s">
        <v>21</v>
      </c>
      <c r="H31" s="105"/>
      <c r="I31" s="108" t="s">
        <v>10</v>
      </c>
      <c r="J31" s="109" t="s">
        <v>22</v>
      </c>
      <c r="K31" s="153" t="s">
        <v>11</v>
      </c>
    </row>
    <row r="32" spans="1:13" ht="12.75" customHeight="1" x14ac:dyDescent="0.2">
      <c r="A32" s="98"/>
      <c r="B32" s="99"/>
      <c r="C32" s="99"/>
      <c r="D32" s="99"/>
      <c r="E32" s="99"/>
      <c r="F32" s="103"/>
      <c r="G32" s="106"/>
      <c r="H32" s="107"/>
      <c r="I32" s="108"/>
      <c r="J32" s="109"/>
      <c r="K32" s="154"/>
    </row>
    <row r="33" spans="1:13" x14ac:dyDescent="0.2">
      <c r="A33" s="7"/>
      <c r="B33" s="42"/>
      <c r="C33" s="16"/>
      <c r="D33" s="16"/>
      <c r="E33" s="16"/>
      <c r="F33" s="17"/>
      <c r="G33" s="169"/>
      <c r="H33" s="170"/>
      <c r="I33" s="63"/>
      <c r="J33" s="64" t="str">
        <f t="shared" ref="J33:J42" si="6">M33</f>
        <v/>
      </c>
      <c r="K33" s="76" t="str">
        <f>IFERROR(J33*G33,"")</f>
        <v/>
      </c>
      <c r="L33" s="55" t="str">
        <f t="shared" ref="L33:L42" si="7">TRIM(A33)</f>
        <v/>
      </c>
      <c r="M33" s="55" t="str">
        <f>IFERROR(VLOOKUP(L33,[1]MATERIAIS!$A:$D,4,FALSE),"")</f>
        <v/>
      </c>
    </row>
    <row r="34" spans="1:13" x14ac:dyDescent="0.2">
      <c r="A34" s="7"/>
      <c r="B34" s="42"/>
      <c r="C34" s="18"/>
      <c r="D34" s="18"/>
      <c r="E34" s="18"/>
      <c r="F34" s="19"/>
      <c r="G34" s="110"/>
      <c r="H34" s="111"/>
      <c r="I34" s="65"/>
      <c r="J34" s="66" t="str">
        <f>M34</f>
        <v/>
      </c>
      <c r="K34" s="76" t="str">
        <f t="shared" ref="K34:K42" si="8">IFERROR(J34*G34,"")</f>
        <v/>
      </c>
      <c r="L34" s="55" t="str">
        <f t="shared" si="7"/>
        <v/>
      </c>
      <c r="M34" s="55" t="str">
        <f>IFERROR(VLOOKUP(L34,[1]MATERIAIS!$A:$D,4,FALSE),"")</f>
        <v/>
      </c>
    </row>
    <row r="35" spans="1:13" x14ac:dyDescent="0.2">
      <c r="A35" s="7"/>
      <c r="B35" s="42"/>
      <c r="C35" s="18"/>
      <c r="D35" s="18"/>
      <c r="E35" s="18"/>
      <c r="F35" s="19"/>
      <c r="G35" s="110"/>
      <c r="H35" s="111"/>
      <c r="I35" s="65"/>
      <c r="J35" s="66" t="str">
        <f t="shared" si="6"/>
        <v/>
      </c>
      <c r="K35" s="76" t="str">
        <f>IFERROR(J35*G35,"")</f>
        <v/>
      </c>
      <c r="L35" s="55" t="str">
        <f t="shared" si="7"/>
        <v/>
      </c>
      <c r="M35" s="55" t="str">
        <f>IFERROR(VLOOKUP(L35,[1]MATERIAIS!$A:$D,4,FALSE),"")</f>
        <v/>
      </c>
    </row>
    <row r="36" spans="1:13" x14ac:dyDescent="0.2">
      <c r="A36" s="7"/>
      <c r="B36" s="42"/>
      <c r="C36" s="18"/>
      <c r="D36" s="18"/>
      <c r="E36" s="18"/>
      <c r="F36" s="19"/>
      <c r="G36" s="110"/>
      <c r="H36" s="111"/>
      <c r="I36" s="65"/>
      <c r="J36" s="66" t="str">
        <f t="shared" si="6"/>
        <v/>
      </c>
      <c r="K36" s="76" t="str">
        <f t="shared" si="8"/>
        <v/>
      </c>
      <c r="L36" s="55" t="str">
        <f t="shared" si="7"/>
        <v/>
      </c>
      <c r="M36" s="55" t="str">
        <f>IFERROR(VLOOKUP(L36,[1]MATERIAIS!$A:$D,4,FALSE),"")</f>
        <v/>
      </c>
    </row>
    <row r="37" spans="1:13" x14ac:dyDescent="0.2">
      <c r="A37" s="7"/>
      <c r="B37" s="42"/>
      <c r="C37" s="18"/>
      <c r="D37" s="18"/>
      <c r="E37" s="18"/>
      <c r="F37" s="19"/>
      <c r="G37" s="110"/>
      <c r="H37" s="111"/>
      <c r="I37" s="65"/>
      <c r="J37" s="66" t="str">
        <f t="shared" si="6"/>
        <v/>
      </c>
      <c r="K37" s="76" t="str">
        <f t="shared" si="8"/>
        <v/>
      </c>
      <c r="L37" s="55" t="str">
        <f t="shared" si="7"/>
        <v/>
      </c>
      <c r="M37" s="55" t="str">
        <f>IFERROR(VLOOKUP(L37,[1]MATERIAIS!$A:$D,4,FALSE),"")</f>
        <v/>
      </c>
    </row>
    <row r="38" spans="1:13" x14ac:dyDescent="0.2">
      <c r="A38" s="7"/>
      <c r="B38" s="42"/>
      <c r="C38" s="18"/>
      <c r="D38" s="18"/>
      <c r="E38" s="18"/>
      <c r="F38" s="19"/>
      <c r="G38" s="110"/>
      <c r="H38" s="111"/>
      <c r="I38" s="65"/>
      <c r="J38" s="66" t="str">
        <f t="shared" si="6"/>
        <v/>
      </c>
      <c r="K38" s="76" t="str">
        <f t="shared" si="8"/>
        <v/>
      </c>
      <c r="L38" s="55" t="str">
        <f t="shared" si="7"/>
        <v/>
      </c>
      <c r="M38" s="55" t="str">
        <f>IFERROR(VLOOKUP(L38,[1]MATERIAIS!$A:$D,4,FALSE),"")</f>
        <v/>
      </c>
    </row>
    <row r="39" spans="1:13" x14ac:dyDescent="0.2">
      <c r="A39" s="7"/>
      <c r="B39" s="42"/>
      <c r="C39" s="18"/>
      <c r="D39" s="18"/>
      <c r="E39" s="18"/>
      <c r="F39" s="19"/>
      <c r="G39" s="110"/>
      <c r="H39" s="111"/>
      <c r="I39" s="65"/>
      <c r="J39" s="66" t="str">
        <f t="shared" si="6"/>
        <v/>
      </c>
      <c r="K39" s="76" t="str">
        <f t="shared" si="8"/>
        <v/>
      </c>
      <c r="L39" s="55" t="str">
        <f t="shared" si="7"/>
        <v/>
      </c>
      <c r="M39" s="55" t="str">
        <f>IFERROR(VLOOKUP(L39,[1]MATERIAIS!$A:$D,4,FALSE),"")</f>
        <v/>
      </c>
    </row>
    <row r="40" spans="1:13" x14ac:dyDescent="0.2">
      <c r="A40" s="7"/>
      <c r="B40" s="42"/>
      <c r="C40" s="18"/>
      <c r="D40" s="18"/>
      <c r="E40" s="18"/>
      <c r="F40" s="19"/>
      <c r="G40" s="110"/>
      <c r="H40" s="111"/>
      <c r="I40" s="65"/>
      <c r="J40" s="66" t="str">
        <f t="shared" si="6"/>
        <v/>
      </c>
      <c r="K40" s="76" t="str">
        <f t="shared" si="8"/>
        <v/>
      </c>
      <c r="L40" s="55" t="str">
        <f t="shared" si="7"/>
        <v/>
      </c>
      <c r="M40" s="55" t="str">
        <f>IFERROR(VLOOKUP(L40,[1]MATERIAIS!$A:$D,4,FALSE),"")</f>
        <v/>
      </c>
    </row>
    <row r="41" spans="1:13" x14ac:dyDescent="0.2">
      <c r="A41" s="7"/>
      <c r="B41" s="42"/>
      <c r="C41" s="18"/>
      <c r="D41" s="18"/>
      <c r="E41" s="18"/>
      <c r="F41" s="19"/>
      <c r="G41" s="110"/>
      <c r="H41" s="111"/>
      <c r="I41" s="65"/>
      <c r="J41" s="66" t="str">
        <f t="shared" si="6"/>
        <v/>
      </c>
      <c r="K41" s="76" t="str">
        <f t="shared" si="8"/>
        <v/>
      </c>
      <c r="L41" s="55" t="str">
        <f t="shared" si="7"/>
        <v/>
      </c>
      <c r="M41" s="55" t="str">
        <f>IFERROR(VLOOKUP(L41,[1]MATERIAIS!$A:$D,4,FALSE),"")</f>
        <v/>
      </c>
    </row>
    <row r="42" spans="1:13" x14ac:dyDescent="0.2">
      <c r="A42" s="7"/>
      <c r="B42" s="42"/>
      <c r="C42" s="18"/>
      <c r="D42" s="18"/>
      <c r="E42" s="18"/>
      <c r="F42" s="19"/>
      <c r="G42" s="110"/>
      <c r="H42" s="111"/>
      <c r="I42" s="65"/>
      <c r="J42" s="66" t="str">
        <f t="shared" si="6"/>
        <v/>
      </c>
      <c r="K42" s="76" t="str">
        <f t="shared" si="8"/>
        <v/>
      </c>
      <c r="L42" s="55" t="str">
        <f t="shared" si="7"/>
        <v/>
      </c>
      <c r="M42" s="55" t="str">
        <f>IFERROR(VLOOKUP(L42,[1]MATERIAIS!$A:$D,4,FALSE),"")</f>
        <v/>
      </c>
    </row>
    <row r="43" spans="1:13" x14ac:dyDescent="0.2">
      <c r="A43" s="112" t="s">
        <v>28</v>
      </c>
      <c r="B43" s="113"/>
      <c r="C43" s="113"/>
      <c r="D43" s="113"/>
      <c r="E43" s="113"/>
      <c r="F43" s="113"/>
      <c r="G43" s="113"/>
      <c r="H43" s="113"/>
      <c r="I43" s="113"/>
      <c r="J43" s="114"/>
      <c r="K43" s="77">
        <f>SUM(K33:K42)</f>
        <v>0</v>
      </c>
    </row>
    <row r="44" spans="1:13" x14ac:dyDescent="0.2">
      <c r="A44" s="96" t="s">
        <v>30</v>
      </c>
      <c r="B44" s="97"/>
      <c r="C44" s="97"/>
      <c r="D44" s="97"/>
      <c r="E44" s="97"/>
      <c r="F44" s="102"/>
      <c r="G44" s="104" t="s">
        <v>21</v>
      </c>
      <c r="H44" s="105"/>
      <c r="I44" s="108" t="s">
        <v>10</v>
      </c>
      <c r="J44" s="109" t="s">
        <v>22</v>
      </c>
      <c r="K44" s="153" t="s">
        <v>11</v>
      </c>
    </row>
    <row r="45" spans="1:13" x14ac:dyDescent="0.2">
      <c r="A45" s="98"/>
      <c r="B45" s="99"/>
      <c r="C45" s="99"/>
      <c r="D45" s="99"/>
      <c r="E45" s="99"/>
      <c r="F45" s="103"/>
      <c r="G45" s="106"/>
      <c r="H45" s="107"/>
      <c r="I45" s="108"/>
      <c r="J45" s="109"/>
      <c r="K45" s="154"/>
    </row>
    <row r="46" spans="1:13" x14ac:dyDescent="0.2">
      <c r="A46" s="7"/>
      <c r="B46" s="42"/>
      <c r="C46" s="18"/>
      <c r="D46" s="18"/>
      <c r="E46" s="18"/>
      <c r="F46" s="19"/>
      <c r="G46" s="100"/>
      <c r="H46" s="101"/>
      <c r="I46" s="67"/>
      <c r="J46" s="68" t="str">
        <f t="shared" ref="J46:J53" si="9">M46</f>
        <v/>
      </c>
      <c r="K46" s="76" t="str">
        <f>IFERROR(J46*G46,"")</f>
        <v/>
      </c>
      <c r="L46" s="55" t="str">
        <f t="shared" ref="L46:L53" si="10">TRIM(A46)</f>
        <v/>
      </c>
      <c r="M46" s="55" t="str">
        <f>IFERROR(VLOOKUP(L46,[1]AUXILIARES!$A:$B,2,FALSE),"")</f>
        <v/>
      </c>
    </row>
    <row r="47" spans="1:13" x14ac:dyDescent="0.2">
      <c r="A47" s="7"/>
      <c r="B47" s="42"/>
      <c r="C47" s="18"/>
      <c r="D47" s="18"/>
      <c r="E47" s="18"/>
      <c r="F47" s="19"/>
      <c r="G47" s="100"/>
      <c r="H47" s="101"/>
      <c r="I47" s="67"/>
      <c r="J47" s="68" t="str">
        <f t="shared" si="9"/>
        <v/>
      </c>
      <c r="K47" s="76" t="str">
        <f t="shared" ref="K47:K53" si="11">IFERROR(J47*G47,"")</f>
        <v/>
      </c>
      <c r="L47" s="55" t="str">
        <f>TRIM(A47)</f>
        <v/>
      </c>
      <c r="M47" s="55" t="str">
        <f>IFERROR(VLOOKUP(L47,[1]AUXILIARES!$A:$B,2,FALSE),"")</f>
        <v/>
      </c>
    </row>
    <row r="48" spans="1:13" x14ac:dyDescent="0.2">
      <c r="A48" s="7"/>
      <c r="B48" s="42"/>
      <c r="C48" s="18"/>
      <c r="D48" s="18"/>
      <c r="E48" s="18"/>
      <c r="F48" s="19"/>
      <c r="G48" s="100"/>
      <c r="H48" s="101"/>
      <c r="I48" s="67"/>
      <c r="J48" s="68" t="str">
        <f t="shared" si="9"/>
        <v/>
      </c>
      <c r="K48" s="76" t="str">
        <f t="shared" si="11"/>
        <v/>
      </c>
      <c r="L48" s="55" t="str">
        <f t="shared" si="10"/>
        <v/>
      </c>
      <c r="M48" s="55" t="str">
        <f>IFERROR(VLOOKUP(L48,[1]AUXILIARES!$A:$B,2,FALSE),"")</f>
        <v/>
      </c>
    </row>
    <row r="49" spans="1:13" x14ac:dyDescent="0.2">
      <c r="A49" s="7"/>
      <c r="B49" s="42"/>
      <c r="C49" s="18"/>
      <c r="D49" s="18"/>
      <c r="E49" s="18"/>
      <c r="F49" s="19"/>
      <c r="G49" s="100"/>
      <c r="H49" s="101"/>
      <c r="I49" s="67"/>
      <c r="J49" s="68" t="str">
        <f t="shared" si="9"/>
        <v/>
      </c>
      <c r="K49" s="76" t="str">
        <f t="shared" si="11"/>
        <v/>
      </c>
      <c r="L49" s="55" t="str">
        <f t="shared" si="10"/>
        <v/>
      </c>
      <c r="M49" s="55" t="str">
        <f>IFERROR(VLOOKUP(L49,[1]AUXILIARES!$A:$B,2,FALSE),"")</f>
        <v/>
      </c>
    </row>
    <row r="50" spans="1:13" x14ac:dyDescent="0.2">
      <c r="A50" s="7"/>
      <c r="B50" s="42"/>
      <c r="C50" s="18"/>
      <c r="D50" s="18"/>
      <c r="E50" s="18"/>
      <c r="F50" s="19"/>
      <c r="G50" s="100"/>
      <c r="H50" s="101"/>
      <c r="I50" s="67"/>
      <c r="J50" s="68" t="str">
        <f t="shared" si="9"/>
        <v/>
      </c>
      <c r="K50" s="76" t="str">
        <f t="shared" si="11"/>
        <v/>
      </c>
      <c r="L50" s="55" t="str">
        <f t="shared" si="10"/>
        <v/>
      </c>
      <c r="M50" s="55" t="str">
        <f>IFERROR(VLOOKUP(L50,[1]AUXILIARES!$A:$B,2,FALSE),"")</f>
        <v/>
      </c>
    </row>
    <row r="51" spans="1:13" x14ac:dyDescent="0.2">
      <c r="A51" s="7"/>
      <c r="B51" s="42"/>
      <c r="C51" s="18"/>
      <c r="D51" s="18"/>
      <c r="E51" s="18"/>
      <c r="F51" s="19"/>
      <c r="G51" s="100"/>
      <c r="H51" s="101"/>
      <c r="I51" s="67"/>
      <c r="J51" s="68" t="str">
        <f t="shared" si="9"/>
        <v/>
      </c>
      <c r="K51" s="76" t="str">
        <f t="shared" si="11"/>
        <v/>
      </c>
      <c r="L51" s="55" t="str">
        <f t="shared" si="10"/>
        <v/>
      </c>
      <c r="M51" s="55" t="str">
        <f>IFERROR(VLOOKUP(L51,[1]AUXILIARES!$A:$B,2,FALSE),"")</f>
        <v/>
      </c>
    </row>
    <row r="52" spans="1:13" x14ac:dyDescent="0.2">
      <c r="A52" s="7"/>
      <c r="B52" s="42"/>
      <c r="C52" s="18"/>
      <c r="D52" s="18"/>
      <c r="E52" s="18"/>
      <c r="F52" s="19"/>
      <c r="G52" s="100"/>
      <c r="H52" s="101"/>
      <c r="I52" s="67"/>
      <c r="J52" s="68" t="str">
        <f t="shared" si="9"/>
        <v/>
      </c>
      <c r="K52" s="76" t="str">
        <f t="shared" si="11"/>
        <v/>
      </c>
      <c r="L52" s="55" t="str">
        <f t="shared" si="10"/>
        <v/>
      </c>
      <c r="M52" s="55" t="str">
        <f>IFERROR(VLOOKUP(L52,[1]AUXILIARES!$A:$B,2,FALSE),"")</f>
        <v/>
      </c>
    </row>
    <row r="53" spans="1:13" x14ac:dyDescent="0.2">
      <c r="A53" s="8"/>
      <c r="B53" s="43"/>
      <c r="C53" s="20"/>
      <c r="D53" s="20"/>
      <c r="E53" s="20"/>
      <c r="F53" s="21"/>
      <c r="G53" s="160"/>
      <c r="H53" s="161"/>
      <c r="I53" s="69"/>
      <c r="J53" s="68" t="str">
        <f t="shared" si="9"/>
        <v/>
      </c>
      <c r="K53" s="78" t="str">
        <f t="shared" si="11"/>
        <v/>
      </c>
      <c r="L53" s="55" t="str">
        <f t="shared" si="10"/>
        <v/>
      </c>
      <c r="M53" s="55" t="str">
        <f>IFERROR(VLOOKUP(L53,[1]AUXILIARES!$A:$B,2,FALSE),"")</f>
        <v/>
      </c>
    </row>
    <row r="54" spans="1:13" x14ac:dyDescent="0.2">
      <c r="A54" s="112" t="s">
        <v>31</v>
      </c>
      <c r="B54" s="113"/>
      <c r="C54" s="113"/>
      <c r="D54" s="113"/>
      <c r="E54" s="113"/>
      <c r="F54" s="113"/>
      <c r="G54" s="113"/>
      <c r="H54" s="113"/>
      <c r="I54" s="113"/>
      <c r="J54" s="114"/>
      <c r="K54" s="77">
        <f>SUM(K46:K53)</f>
        <v>0</v>
      </c>
    </row>
    <row r="55" spans="1:13" x14ac:dyDescent="0.2">
      <c r="A55" s="96" t="s">
        <v>34</v>
      </c>
      <c r="B55" s="97"/>
      <c r="C55" s="97"/>
      <c r="D55" s="97"/>
      <c r="E55" s="97"/>
      <c r="F55" s="102"/>
      <c r="G55" s="104" t="s">
        <v>21</v>
      </c>
      <c r="H55" s="105"/>
      <c r="I55" s="108" t="s">
        <v>10</v>
      </c>
      <c r="J55" s="109" t="s">
        <v>22</v>
      </c>
      <c r="K55" s="153" t="s">
        <v>11</v>
      </c>
    </row>
    <row r="56" spans="1:13" x14ac:dyDescent="0.2">
      <c r="A56" s="98"/>
      <c r="B56" s="99"/>
      <c r="C56" s="99"/>
      <c r="D56" s="99"/>
      <c r="E56" s="99"/>
      <c r="F56" s="103"/>
      <c r="G56" s="106"/>
      <c r="H56" s="107"/>
      <c r="I56" s="108"/>
      <c r="J56" s="109"/>
      <c r="K56" s="154"/>
    </row>
    <row r="57" spans="1:13" x14ac:dyDescent="0.2">
      <c r="A57" s="7"/>
      <c r="B57" s="42"/>
      <c r="C57" s="18"/>
      <c r="D57" s="18"/>
      <c r="E57" s="18"/>
      <c r="F57" s="19"/>
      <c r="G57" s="167"/>
      <c r="H57" s="168"/>
      <c r="I57" s="11"/>
      <c r="J57" s="23" t="str">
        <f t="shared" ref="J57:J64" si="12">M57</f>
        <v/>
      </c>
      <c r="K57" s="76" t="str">
        <f t="shared" ref="K57:K64" si="13">IFERROR(J57*G57,"")</f>
        <v/>
      </c>
      <c r="L57" s="55" t="str">
        <f>TRIM(A57)</f>
        <v/>
      </c>
      <c r="M57" s="55" t="str">
        <f>IFERROR(VLOOKUP(L57,[1]TEMPO_FIXO!$C:$F,4,FALSE),"")</f>
        <v/>
      </c>
    </row>
    <row r="58" spans="1:13" x14ac:dyDescent="0.2">
      <c r="A58" s="7"/>
      <c r="B58" s="42"/>
      <c r="C58" s="18"/>
      <c r="D58" s="18"/>
      <c r="E58" s="18"/>
      <c r="F58" s="19"/>
      <c r="G58" s="167"/>
      <c r="H58" s="168"/>
      <c r="I58" s="11"/>
      <c r="J58" s="23" t="str">
        <f t="shared" si="12"/>
        <v/>
      </c>
      <c r="K58" s="76" t="str">
        <f t="shared" si="13"/>
        <v/>
      </c>
      <c r="L58" s="55" t="str">
        <f t="shared" ref="L58:L64" si="14">TRIM(A58)</f>
        <v/>
      </c>
      <c r="M58" s="55" t="str">
        <f>IFERROR(VLOOKUP(L58,[1]TEMPO_FIXO!$C:$F,4,FALSE),"")</f>
        <v/>
      </c>
    </row>
    <row r="59" spans="1:13" x14ac:dyDescent="0.2">
      <c r="A59" s="7"/>
      <c r="B59" s="42"/>
      <c r="C59" s="18"/>
      <c r="D59" s="18"/>
      <c r="E59" s="18"/>
      <c r="F59" s="19"/>
      <c r="G59" s="167"/>
      <c r="H59" s="168"/>
      <c r="I59" s="11"/>
      <c r="J59" s="23" t="str">
        <f t="shared" si="12"/>
        <v/>
      </c>
      <c r="K59" s="76" t="str">
        <f t="shared" si="13"/>
        <v/>
      </c>
      <c r="L59" s="55" t="str">
        <f t="shared" si="14"/>
        <v/>
      </c>
      <c r="M59" s="55" t="str">
        <f>IFERROR(VLOOKUP(L59,[1]TEMPO_FIXO!$C:$F,4,FALSE),"")</f>
        <v/>
      </c>
    </row>
    <row r="60" spans="1:13" x14ac:dyDescent="0.2">
      <c r="A60" s="7"/>
      <c r="B60" s="42"/>
      <c r="C60" s="18"/>
      <c r="D60" s="18"/>
      <c r="E60" s="18"/>
      <c r="F60" s="19"/>
      <c r="G60" s="167"/>
      <c r="H60" s="168"/>
      <c r="I60" s="11"/>
      <c r="J60" s="23" t="str">
        <f t="shared" si="12"/>
        <v/>
      </c>
      <c r="K60" s="76" t="str">
        <f t="shared" si="13"/>
        <v/>
      </c>
      <c r="L60" s="55" t="str">
        <f t="shared" si="14"/>
        <v/>
      </c>
      <c r="M60" s="55" t="str">
        <f>IFERROR(VLOOKUP(L60,[1]TEMPO_FIXO!$C:$F,4,FALSE),"")</f>
        <v/>
      </c>
    </row>
    <row r="61" spans="1:13" x14ac:dyDescent="0.2">
      <c r="A61" s="7"/>
      <c r="B61" s="42"/>
      <c r="C61" s="18"/>
      <c r="D61" s="18"/>
      <c r="E61" s="18"/>
      <c r="F61" s="19"/>
      <c r="G61" s="167"/>
      <c r="H61" s="168"/>
      <c r="I61" s="11"/>
      <c r="J61" s="23" t="str">
        <f t="shared" si="12"/>
        <v/>
      </c>
      <c r="K61" s="76" t="str">
        <f t="shared" si="13"/>
        <v/>
      </c>
      <c r="L61" s="55" t="str">
        <f t="shared" si="14"/>
        <v/>
      </c>
      <c r="M61" s="55" t="str">
        <f>IFERROR(VLOOKUP(L61,[1]TEMPO_FIXO!$C:$F,4,FALSE),"")</f>
        <v/>
      </c>
    </row>
    <row r="62" spans="1:13" x14ac:dyDescent="0.2">
      <c r="A62" s="7"/>
      <c r="B62" s="42"/>
      <c r="C62" s="18"/>
      <c r="D62" s="18"/>
      <c r="E62" s="18"/>
      <c r="F62" s="19"/>
      <c r="G62" s="167"/>
      <c r="H62" s="168"/>
      <c r="I62" s="11"/>
      <c r="J62" s="23" t="str">
        <f t="shared" si="12"/>
        <v/>
      </c>
      <c r="K62" s="76" t="str">
        <f t="shared" si="13"/>
        <v/>
      </c>
      <c r="L62" s="55" t="str">
        <f t="shared" si="14"/>
        <v/>
      </c>
      <c r="M62" s="55" t="str">
        <f>IFERROR(VLOOKUP(L62,[1]TEMPO_FIXO!$C:$F,4,FALSE),"")</f>
        <v/>
      </c>
    </row>
    <row r="63" spans="1:13" x14ac:dyDescent="0.2">
      <c r="A63" s="7"/>
      <c r="B63" s="42"/>
      <c r="C63" s="18"/>
      <c r="D63" s="18"/>
      <c r="E63" s="18"/>
      <c r="F63" s="19"/>
      <c r="G63" s="167"/>
      <c r="H63" s="168"/>
      <c r="I63" s="11"/>
      <c r="J63" s="23" t="str">
        <f t="shared" si="12"/>
        <v/>
      </c>
      <c r="K63" s="76" t="str">
        <f t="shared" si="13"/>
        <v/>
      </c>
      <c r="L63" s="55" t="str">
        <f t="shared" si="14"/>
        <v/>
      </c>
      <c r="M63" s="55" t="str">
        <f>IFERROR(VLOOKUP(L63,[1]TEMPO_FIXO!$C:$F,4,FALSE),"")</f>
        <v/>
      </c>
    </row>
    <row r="64" spans="1:13" x14ac:dyDescent="0.2">
      <c r="A64" s="8"/>
      <c r="B64" s="43"/>
      <c r="C64" s="20"/>
      <c r="D64" s="20"/>
      <c r="E64" s="20"/>
      <c r="F64" s="21"/>
      <c r="G64" s="171"/>
      <c r="H64" s="172"/>
      <c r="I64" s="12"/>
      <c r="J64" s="24" t="str">
        <f t="shared" si="12"/>
        <v/>
      </c>
      <c r="K64" s="76" t="str">
        <f t="shared" si="13"/>
        <v/>
      </c>
      <c r="L64" s="55" t="str">
        <f t="shared" si="14"/>
        <v/>
      </c>
      <c r="M64" s="55" t="str">
        <f>IFERROR(VLOOKUP(L64,[1]TEMPO_FIXO!$C:$F,4,FALSE),"")</f>
        <v/>
      </c>
    </row>
    <row r="65" spans="1:22" x14ac:dyDescent="0.2">
      <c r="A65" s="112" t="s">
        <v>35</v>
      </c>
      <c r="B65" s="113"/>
      <c r="C65" s="113"/>
      <c r="D65" s="113"/>
      <c r="E65" s="113"/>
      <c r="F65" s="113"/>
      <c r="G65" s="113"/>
      <c r="H65" s="113"/>
      <c r="I65" s="113"/>
      <c r="J65" s="114"/>
      <c r="K65" s="77">
        <f>SUM(K57:K64)</f>
        <v>0</v>
      </c>
    </row>
    <row r="66" spans="1:22" ht="15.75" customHeight="1" x14ac:dyDescent="0.2">
      <c r="A66" s="96" t="s">
        <v>33</v>
      </c>
      <c r="B66" s="137"/>
      <c r="C66" s="40" t="s">
        <v>32</v>
      </c>
      <c r="D66" s="49" t="s">
        <v>37</v>
      </c>
      <c r="E66" s="173" t="s">
        <v>36</v>
      </c>
      <c r="F66" s="173"/>
      <c r="G66" s="174"/>
      <c r="H66" s="157" t="s">
        <v>15</v>
      </c>
      <c r="I66" s="158"/>
      <c r="J66" s="159"/>
      <c r="K66" s="155" t="s">
        <v>9</v>
      </c>
    </row>
    <row r="67" spans="1:22" ht="13.5" customHeight="1" x14ac:dyDescent="0.2">
      <c r="A67" s="135"/>
      <c r="B67" s="138"/>
      <c r="C67" s="50"/>
      <c r="D67" s="57"/>
      <c r="E67" s="47" t="s">
        <v>12</v>
      </c>
      <c r="F67" s="38" t="s">
        <v>13</v>
      </c>
      <c r="G67" s="37" t="s">
        <v>14</v>
      </c>
      <c r="H67" s="36" t="s">
        <v>12</v>
      </c>
      <c r="I67" s="36" t="s">
        <v>40</v>
      </c>
      <c r="J67" s="36" t="s">
        <v>14</v>
      </c>
      <c r="K67" s="156"/>
    </row>
    <row r="68" spans="1:22" x14ac:dyDescent="0.2">
      <c r="A68" s="6"/>
      <c r="B68" s="51"/>
      <c r="C68" s="7"/>
      <c r="D68" s="32"/>
      <c r="E68" s="56"/>
      <c r="F68" s="33"/>
      <c r="G68" s="32"/>
      <c r="H68" s="30"/>
      <c r="I68" s="30"/>
      <c r="J68" s="31"/>
      <c r="K68" s="79"/>
      <c r="L68" s="55" t="str">
        <f t="shared" ref="L68" si="15">TRIM(A68)</f>
        <v/>
      </c>
    </row>
    <row r="69" spans="1:22" x14ac:dyDescent="0.2">
      <c r="A69" s="7"/>
      <c r="B69" s="42"/>
      <c r="C69" s="7"/>
      <c r="D69" s="89"/>
      <c r="E69" s="90"/>
      <c r="F69" s="91"/>
      <c r="G69" s="89"/>
      <c r="H69" s="30"/>
      <c r="I69" s="30"/>
      <c r="J69" s="31"/>
      <c r="K69" s="76"/>
      <c r="L69" s="55" t="str">
        <f t="shared" ref="L69:L75" si="16">TRIM(A69)</f>
        <v/>
      </c>
    </row>
    <row r="70" spans="1:22" x14ac:dyDescent="0.2">
      <c r="A70" s="7"/>
      <c r="B70" s="42"/>
      <c r="C70" s="7"/>
      <c r="D70" s="89"/>
      <c r="E70" s="90"/>
      <c r="F70" s="91"/>
      <c r="G70" s="89"/>
      <c r="H70" s="30"/>
      <c r="I70" s="30"/>
      <c r="J70" s="31"/>
      <c r="K70" s="76"/>
      <c r="L70" s="55" t="str">
        <f t="shared" si="16"/>
        <v/>
      </c>
    </row>
    <row r="71" spans="1:22" x14ac:dyDescent="0.2">
      <c r="A71" s="7"/>
      <c r="B71" s="42"/>
      <c r="C71" s="7"/>
      <c r="D71" s="89"/>
      <c r="E71" s="90"/>
      <c r="F71" s="91"/>
      <c r="G71" s="89"/>
      <c r="H71" s="30"/>
      <c r="I71" s="30"/>
      <c r="J71" s="31"/>
      <c r="K71" s="76"/>
      <c r="L71" s="55" t="str">
        <f t="shared" si="16"/>
        <v/>
      </c>
    </row>
    <row r="72" spans="1:22" x14ac:dyDescent="0.2">
      <c r="A72" s="7"/>
      <c r="B72" s="42"/>
      <c r="C72" s="7"/>
      <c r="D72" s="89"/>
      <c r="E72" s="90"/>
      <c r="F72" s="91"/>
      <c r="G72" s="89"/>
      <c r="H72" s="30"/>
      <c r="I72" s="30"/>
      <c r="J72" s="31"/>
      <c r="K72" s="76"/>
      <c r="L72" s="55" t="str">
        <f t="shared" si="16"/>
        <v/>
      </c>
    </row>
    <row r="73" spans="1:22" x14ac:dyDescent="0.2">
      <c r="A73" s="7"/>
      <c r="B73" s="42"/>
      <c r="C73" s="7"/>
      <c r="D73" s="34"/>
      <c r="E73" s="42"/>
      <c r="F73" s="7"/>
      <c r="G73" s="34"/>
      <c r="H73" s="22"/>
      <c r="I73" s="22"/>
      <c r="J73" s="11"/>
      <c r="K73" s="76"/>
      <c r="L73" s="55" t="str">
        <f t="shared" si="16"/>
        <v/>
      </c>
    </row>
    <row r="74" spans="1:22" x14ac:dyDescent="0.2">
      <c r="A74" s="7"/>
      <c r="B74" s="42"/>
      <c r="C74" s="7"/>
      <c r="D74" s="34"/>
      <c r="E74" s="42"/>
      <c r="F74" s="7"/>
      <c r="G74" s="34"/>
      <c r="H74" s="22"/>
      <c r="I74" s="22"/>
      <c r="J74" s="11"/>
      <c r="K74" s="76"/>
      <c r="L74" s="55" t="str">
        <f t="shared" si="16"/>
        <v/>
      </c>
    </row>
    <row r="75" spans="1:22" x14ac:dyDescent="0.2">
      <c r="A75" s="8"/>
      <c r="B75" s="43"/>
      <c r="C75" s="8"/>
      <c r="D75" s="35"/>
      <c r="E75" s="43"/>
      <c r="F75" s="8"/>
      <c r="G75" s="35"/>
      <c r="H75" s="22"/>
      <c r="I75" s="22"/>
      <c r="J75" s="11"/>
      <c r="K75" s="78"/>
      <c r="L75" s="55" t="str">
        <f t="shared" si="16"/>
        <v/>
      </c>
    </row>
    <row r="76" spans="1:22" x14ac:dyDescent="0.2">
      <c r="A76" s="151" t="s">
        <v>29</v>
      </c>
      <c r="B76" s="149"/>
      <c r="C76" s="149"/>
      <c r="D76" s="152"/>
      <c r="E76" s="149"/>
      <c r="F76" s="149"/>
      <c r="G76" s="149"/>
      <c r="H76" s="149"/>
      <c r="I76" s="149"/>
      <c r="J76" s="150"/>
      <c r="K76" s="77"/>
    </row>
    <row r="77" spans="1:22" ht="12.75" customHeight="1" x14ac:dyDescent="0.2">
      <c r="A77" s="148" t="s">
        <v>41</v>
      </c>
      <c r="B77" s="149"/>
      <c r="C77" s="149"/>
      <c r="D77" s="149"/>
      <c r="E77" s="149"/>
      <c r="F77" s="149"/>
      <c r="G77" s="149"/>
      <c r="H77" s="149"/>
      <c r="I77" s="149"/>
      <c r="J77" s="150"/>
      <c r="K77" s="77" t="str">
        <f>IFERROR(K65+K54+K43+K30+K76,"")</f>
        <v/>
      </c>
      <c r="V77" s="92"/>
    </row>
  </sheetData>
  <mergeCells count="70">
    <mergeCell ref="G63:H63"/>
    <mergeCell ref="G64:H64"/>
    <mergeCell ref="E66:G66"/>
    <mergeCell ref="A66:B67"/>
    <mergeCell ref="G62:H62"/>
    <mergeCell ref="K31:K32"/>
    <mergeCell ref="K55:K56"/>
    <mergeCell ref="G38:H38"/>
    <mergeCell ref="G39:H39"/>
    <mergeCell ref="G36:H36"/>
    <mergeCell ref="G37:H37"/>
    <mergeCell ref="G34:H34"/>
    <mergeCell ref="G35:H35"/>
    <mergeCell ref="J55:J56"/>
    <mergeCell ref="G33:H33"/>
    <mergeCell ref="A54:J54"/>
    <mergeCell ref="F44:F45"/>
    <mergeCell ref="J44:J45"/>
    <mergeCell ref="G57:H57"/>
    <mergeCell ref="G50:H50"/>
    <mergeCell ref="I55:I56"/>
    <mergeCell ref="G61:H61"/>
    <mergeCell ref="G60:H60"/>
    <mergeCell ref="G58:H58"/>
    <mergeCell ref="G59:H59"/>
    <mergeCell ref="A1:K4"/>
    <mergeCell ref="A77:J77"/>
    <mergeCell ref="A76:J76"/>
    <mergeCell ref="K44:K45"/>
    <mergeCell ref="K66:K67"/>
    <mergeCell ref="H66:J66"/>
    <mergeCell ref="G46:H46"/>
    <mergeCell ref="G51:H51"/>
    <mergeCell ref="G52:H52"/>
    <mergeCell ref="G53:H53"/>
    <mergeCell ref="A55:E56"/>
    <mergeCell ref="F55:F56"/>
    <mergeCell ref="G55:H56"/>
    <mergeCell ref="A65:J65"/>
    <mergeCell ref="I18:I19"/>
    <mergeCell ref="C5:I5"/>
    <mergeCell ref="K7:K8"/>
    <mergeCell ref="I7:J7"/>
    <mergeCell ref="C6:I6"/>
    <mergeCell ref="K18:K19"/>
    <mergeCell ref="J18:J19"/>
    <mergeCell ref="H18:H19"/>
    <mergeCell ref="G7:H7"/>
    <mergeCell ref="A7:E8"/>
    <mergeCell ref="A5:B5"/>
    <mergeCell ref="A6:B6"/>
    <mergeCell ref="A17:J17"/>
    <mergeCell ref="D28:J28"/>
    <mergeCell ref="D29:J29"/>
    <mergeCell ref="D30:J30"/>
    <mergeCell ref="A31:E32"/>
    <mergeCell ref="G49:H49"/>
    <mergeCell ref="G47:H47"/>
    <mergeCell ref="G48:H48"/>
    <mergeCell ref="F31:F32"/>
    <mergeCell ref="G31:H32"/>
    <mergeCell ref="I31:I32"/>
    <mergeCell ref="J31:J32"/>
    <mergeCell ref="G40:H40"/>
    <mergeCell ref="G41:H41"/>
    <mergeCell ref="G42:H42"/>
    <mergeCell ref="A43:J43"/>
    <mergeCell ref="A44:E45"/>
    <mergeCell ref="G44:H45"/>
    <mergeCell ref="I44:I45"/>
  </mergeCells>
  <phoneticPr fontId="0" type="noConversion"/>
  <printOptions horizontalCentered="1"/>
  <pageMargins left="0.59055118110236227" right="0.59055118110236227" top="1.5748031496062993" bottom="0.98425196850393704" header="0.51181102362204722" footer="0.51181102362204722"/>
  <pageSetup paperSize="9" scale="64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Mod_Comp Unit</vt:lpstr>
      <vt:lpstr>'Mod_Comp Unit'!Area_de_impressao</vt:lpstr>
    </vt:vector>
  </TitlesOfParts>
  <Company>GEC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 Fernando</dc:creator>
  <cp:lastModifiedBy>Lucas Mondini</cp:lastModifiedBy>
  <cp:lastPrinted>2017-06-29T19:42:33Z</cp:lastPrinted>
  <dcterms:created xsi:type="dcterms:W3CDTF">2006-02-14T18:26:26Z</dcterms:created>
  <dcterms:modified xsi:type="dcterms:W3CDTF">2024-10-30T01:44:02Z</dcterms:modified>
</cp:coreProperties>
</file>