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RESUMO_INVENT" sheetId="1160" r:id="rId1"/>
    <sheet name="CAD_SEG" sheetId="1161" r:id="rId2"/>
    <sheet name="CAD_PISTA" sheetId="1162" r:id="rId3"/>
    <sheet name="CAD_ACOST" sheetId="1163" r:id="rId4"/>
    <sheet name="CAD_MFC" sheetId="1164" r:id="rId5"/>
    <sheet name="CAD_SAR" sheetId="1165" r:id="rId6"/>
    <sheet name="CAD_VAL" sheetId="1166" r:id="rId7"/>
    <sheet name="CAD_DAR" sheetId="1167" r:id="rId8"/>
    <sheet name="CAD_EDA" sheetId="1168" r:id="rId9"/>
    <sheet name="CAD_OAC" sheetId="1169" r:id="rId10"/>
    <sheet name="CAD_OAE" sheetId="1170" r:id="rId11"/>
    <sheet name="CAD_CERCA" sheetId="1171" r:id="rId12"/>
    <sheet name="CAD_ROCADA" sheetId="1172" r:id="rId13"/>
    <sheet name="CAD_GRAMA" sheetId="1173" r:id="rId14"/>
    <sheet name="CAD_DEFENSA" sheetId="1174" r:id="rId15"/>
    <sheet name="CAD_SINV" sheetId="1175" r:id="rId16"/>
    <sheet name="CAD_TACHA" sheetId="1176" r:id="rId17"/>
    <sheet name="CAD_SINZ" sheetId="1177" r:id="rId18"/>
    <sheet name="CAD_SINH" sheetId="1178" r:id="rId19"/>
    <sheet name="CAD_FUNC" sheetId="1153" r:id="rId20"/>
    <sheet name="CAD_DSM" sheetId="1184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[1]aux!$I$28:$M$28</definedName>
    <definedName name="__123Graph_AGraph1" hidden="1">[1]aux!$I$6:$M$6</definedName>
    <definedName name="__123Graph_AGraph10" hidden="1">[1]aux!$I$24:$M$24</definedName>
    <definedName name="__123Graph_AGraph11" hidden="1">[1]aux!$I$26:$M$26</definedName>
    <definedName name="__123Graph_AGraph12" hidden="1">[1]aux!$I$28:$M$28</definedName>
    <definedName name="__123Graph_AGraph2" hidden="1">[1]aux!$I$8:$M$8</definedName>
    <definedName name="__123Graph_AGraph3" hidden="1">[1]aux!$I$10:$M$10</definedName>
    <definedName name="__123Graph_AGraph4" hidden="1">[1]aux!$I$12:$M$12</definedName>
    <definedName name="__123Graph_AGraph5" hidden="1">[1]aux!$I$14:$M$14</definedName>
    <definedName name="__123Graph_AGraph6" hidden="1">[1]aux!$I$16:$M$16</definedName>
    <definedName name="__123Graph_AGraph7" hidden="1">[1]aux!$I$18:$M$18</definedName>
    <definedName name="__123Graph_AGraph8" hidden="1">[1]aux!$I$20:$M$20</definedName>
    <definedName name="__123Graph_AGraph9" hidden="1">[1]aux!$I$22:$M$22</definedName>
    <definedName name="__123Graph_B" hidden="1">[1]aux!$B$28:$F$28</definedName>
    <definedName name="__123Graph_BGraph1" hidden="1">[1]aux!$B$6:$F$6</definedName>
    <definedName name="__123Graph_BGraph10" hidden="1">[1]aux!$B$24:$F$24</definedName>
    <definedName name="__123Graph_BGraph11" hidden="1">[1]aux!$B$26:$F$26</definedName>
    <definedName name="__123Graph_BGraph12" hidden="1">[1]aux!$B$28:$F$28</definedName>
    <definedName name="__123Graph_BGraph2" hidden="1">[1]aux!$B$8:$F$8</definedName>
    <definedName name="__123Graph_BGraph3" hidden="1">[1]aux!$B$10:$F$10</definedName>
    <definedName name="__123Graph_BGraph4" hidden="1">[1]aux!$B$12:$F$12</definedName>
    <definedName name="__123Graph_BGraph5" hidden="1">[1]aux!$B$14:$F$14</definedName>
    <definedName name="__123Graph_BGraph6" hidden="1">[1]aux!$B$16:$F$16</definedName>
    <definedName name="__123Graph_BGraph7" hidden="1">[1]aux!$B$18:$F$18</definedName>
    <definedName name="__123Graph_BGraph8" hidden="1">[1]aux!$B$20:$F$20</definedName>
    <definedName name="__123Graph_BGraph9" hidden="1">[1]aux!$B$22:$F$22</definedName>
    <definedName name="__123Graph_C" hidden="1">[2]A!$B$6:$E$6</definedName>
    <definedName name="__123Graph_CGraph7" hidden="1">[2]A!$B$6:$E$6</definedName>
    <definedName name="__123Graph_CGraph8" hidden="1">[2]A!$B$6:$E$6</definedName>
    <definedName name="__123Graph_D" hidden="1">[2]A!$B$7:$E$7</definedName>
    <definedName name="__123Graph_DGraph7" hidden="1">[2]A!$B$7:$E$7</definedName>
    <definedName name="__123Graph_DGraph8" hidden="1">[2]A!$B$7:$E$7</definedName>
    <definedName name="__123Graph_E" hidden="1">[2]A!$B$8:$E$8</definedName>
    <definedName name="__123Graph_EGraph7" hidden="1">[2]A!$B$8:$E$8</definedName>
    <definedName name="__123Graph_EGraph8" hidden="1">[2]A!$B$8:$E$8</definedName>
    <definedName name="__123Graph_X" hidden="1">[1]aux!$B$29:$F$29</definedName>
    <definedName name="__123Graph_XGraph1" hidden="1">[1]aux!$B$7:$F$7</definedName>
    <definedName name="__123Graph_XGraph10" hidden="1">[1]aux!$B$25:$F$25</definedName>
    <definedName name="__123Graph_XGraph11" hidden="1">[1]aux!$B$27:$F$27</definedName>
    <definedName name="__123Graph_XGraph12" hidden="1">[1]aux!$B$29:$F$29</definedName>
    <definedName name="__123Graph_XGraph2" hidden="1">[1]aux!$B$9:$F$9</definedName>
    <definedName name="__123Graph_XGraph3" hidden="1">[1]aux!$B$11:$F$11</definedName>
    <definedName name="__123Graph_XGraph4" hidden="1">[1]aux!$B$13:$F$13</definedName>
    <definedName name="__123Graph_XGraph5" hidden="1">[1]aux!$B$15:$F$15</definedName>
    <definedName name="__123Graph_XGraph6" hidden="1">[1]aux!$B$17:$F$17</definedName>
    <definedName name="__123Graph_XGraph7" hidden="1">[1]aux!$B$19:$F$19</definedName>
    <definedName name="__123Graph_XGraph8" hidden="1">[1]aux!$B$21:$F$21</definedName>
    <definedName name="__123Graph_XGraph9" hidden="1">[1]aux!$B$23:$F$23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FilterDatabase" localSheetId="3" hidden="1">CAD_ACOST!$B$10:$P$10</definedName>
    <definedName name="_FilterDatabase" localSheetId="11" hidden="1">CAD_CERCA!$B$10:$N$10</definedName>
    <definedName name="_FilterDatabase" localSheetId="7" hidden="1">CAD_DAR!$B$10:$P$15</definedName>
    <definedName name="_FilterDatabase" localSheetId="14" hidden="1">CAD_DEFENSA!$B$11:$O$15</definedName>
    <definedName name="_FilterDatabase" localSheetId="8" hidden="1">CAD_EDA!$B$10:$O$14</definedName>
    <definedName name="_FilterDatabase" localSheetId="13" hidden="1">CAD_GRAMA!$B$7:$N$7</definedName>
    <definedName name="_FilterDatabase" localSheetId="4" hidden="1">CAD_MFC!$B$11:$W$11</definedName>
    <definedName name="_FilterDatabase" localSheetId="9" hidden="1">CAD_OAC!$B$15:$T$19</definedName>
    <definedName name="_FilterDatabase" localSheetId="10" hidden="1">CAD_OAE!$B$15:$Y$15</definedName>
    <definedName name="_FilterDatabase" localSheetId="5" hidden="1">CAD_SAR!$B$11:$R$17</definedName>
    <definedName name="_FilterDatabase" localSheetId="18" hidden="1">CAD_SINH!$B$19:$O$23</definedName>
    <definedName name="_FilterDatabase" localSheetId="15" hidden="1">CAD_SINV!$B$13:$Q$18</definedName>
    <definedName name="_FilterDatabase" localSheetId="17" hidden="1">CAD_SINZ!$B$9:$I$13</definedName>
    <definedName name="_FilterDatabase" localSheetId="16" hidden="1">CAD_TACHA!$B$15:$R$15</definedName>
    <definedName name="_xlnm._FilterDatabase" localSheetId="3" hidden="1">CAD_ACOST!#REF!</definedName>
    <definedName name="_xlnm._FilterDatabase" localSheetId="7" hidden="1">CAD_DAR!$B$10:$P$10</definedName>
    <definedName name="_xlnm._FilterDatabase" localSheetId="8" hidden="1">CAD_EDA!$B$11:$Q$14</definedName>
    <definedName name="_xlnm._FilterDatabase" localSheetId="13" hidden="1">CAD_GRAMA!$B$6:$N$12</definedName>
    <definedName name="_xlnm._FilterDatabase" localSheetId="4" hidden="1">CAD_MFC!$B$11:$Y$18</definedName>
    <definedName name="_xlnm._FilterDatabase" localSheetId="9" hidden="1">CAD_OAC!$B$15:$T$19</definedName>
    <definedName name="_xlnm._FilterDatabase" localSheetId="2" hidden="1">CAD_PISTA!$B$12:$R$12</definedName>
    <definedName name="_xlnm._FilterDatabase" localSheetId="12" hidden="1">CAD_ROCADA!#REF!</definedName>
    <definedName name="_xlnm._FilterDatabase" localSheetId="5" hidden="1">CAD_SAR!$B$11:$R$17</definedName>
    <definedName name="_xlnm._FilterDatabase" localSheetId="18" hidden="1">CAD_SINH!#REF!</definedName>
    <definedName name="_xlnm._FilterDatabase" localSheetId="17" hidden="1">CAD_SINZ!$B$9:$I$13</definedName>
    <definedName name="_xlnm._FilterDatabase" localSheetId="16" hidden="1">CAD_TACHA!#REF!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3">CAD_ACOST!$B$1:$O$15</definedName>
    <definedName name="_xlnm.Print_Area" localSheetId="11">CAD_CERCA!$B$1:$N$14</definedName>
    <definedName name="_xlnm.Print_Area" localSheetId="7">CAD_DAR!$B$2:$K$15</definedName>
    <definedName name="_xlnm.Print_Area" localSheetId="14">CAD_DEFENSA!$B$1:$O$15</definedName>
    <definedName name="_xlnm.Print_Area" localSheetId="20">CAD_DSM!$A$1:$R$15</definedName>
    <definedName name="_xlnm.Print_Area" localSheetId="8">CAD_EDA!$B$2:$K$14</definedName>
    <definedName name="_xlnm.Print_Area" localSheetId="13">CAD_GRAMA!$B$1:$N$12</definedName>
    <definedName name="_xlnm.Print_Area" localSheetId="4">CAD_MFC!$A$1:$R$19</definedName>
    <definedName name="_xlnm.Print_Area" localSheetId="9">CAD_OAC!$B$1:$P$19</definedName>
    <definedName name="_xlnm.Print_Area" localSheetId="10">CAD_OAE!$B$1:$Q$18</definedName>
    <definedName name="_xlnm.Print_Area" localSheetId="2">CAD_PISTA!$B$1:$R$17</definedName>
    <definedName name="_xlnm.Print_Area" localSheetId="12">CAD_ROCADA!$B$1:$P$15</definedName>
    <definedName name="_xlnm.Print_Area" localSheetId="5">CAD_SAR!$A$1:$R$17</definedName>
    <definedName name="_xlnm.Print_Area" localSheetId="1">CAD_SEG!$B$1:$I$17</definedName>
    <definedName name="_xlnm.Print_Area" localSheetId="18">CAD_SINH!$B$1:$O$23</definedName>
    <definedName name="_xlnm.Print_Area" localSheetId="15">CAD_SINV!$B$2:$Q$18</definedName>
    <definedName name="_xlnm.Print_Area" localSheetId="17">CAD_SINZ!$A$1:$J$13</definedName>
    <definedName name="_xlnm.Print_Area" localSheetId="16">CAD_TACHA!$B$2:$R$21</definedName>
    <definedName name="_xlnm.Print_Area" localSheetId="6">CAD_VAL!$B$1:$N$13</definedName>
    <definedName name="_xlnm.Print_Area" localSheetId="0">RESUMO_INVENT!$B$2:$AJ$59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hidden="1">#REF!</definedName>
    <definedName name="Chave1" hidden="1">#REF!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u" hidden="1">{#N/A,#N/A,TRUE,"Serviços"}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hidden="1">#REF!</definedName>
    <definedName name="Equip" hidden="1">#REF!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hidden="1">{#N/A,#N/A,FALSE,"MO (2)"}</definedName>
    <definedName name="klklklkl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hidden="1">#REF!</definedName>
    <definedName name="Modelo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hidden="1">#REF!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hidden="1">{#N/A,#N/A,FALSE,"MO (2)"}</definedName>
    <definedName name="Posição" hidden="1">#REF!</definedName>
    <definedName name="Prd" hidden="1">#N/A</definedName>
    <definedName name="PrdAux" hidden="1">#N/A</definedName>
    <definedName name="Print_Area" localSheetId="3">CAD_ACOST!$B$1:$O$10</definedName>
    <definedName name="Print_Area" localSheetId="11">CAD_CERCA!$B$1:$N$10</definedName>
    <definedName name="Print_Area" localSheetId="7">CAD_DAR!$B$2:$K$16</definedName>
    <definedName name="Print_Area" localSheetId="14">CAD_DEFENSA!$B$1:$O$15</definedName>
    <definedName name="Print_Area" localSheetId="8">CAD_EDA!$B$2:$K$14</definedName>
    <definedName name="Print_Area" localSheetId="13">CAD_GRAMA!$B$1:$N$7</definedName>
    <definedName name="Print_Area" localSheetId="4">CAD_MFC!$B$1:$Q$19</definedName>
    <definedName name="Print_Area" localSheetId="9">CAD_OAC!$B$1:$P$19</definedName>
    <definedName name="Print_Area" localSheetId="10">CAD_OAE!$B$1:$Q$17</definedName>
    <definedName name="Print_Area" localSheetId="2">CAD_PISTA!$B$1:$R$13</definedName>
    <definedName name="Print_Area" localSheetId="12">CAD_ROCADA!$B$1:$P$15</definedName>
    <definedName name="Print_Area" localSheetId="5">CAD_SAR!$B$1:$Q$17</definedName>
    <definedName name="Print_Area" localSheetId="1">CAD_SEG!$B$1:$I$17</definedName>
    <definedName name="Print_Area" localSheetId="18">CAD_SINH!$B$1:$O$23</definedName>
    <definedName name="Print_Area" localSheetId="15">CAD_SINV!$B$2:$Q$18</definedName>
    <definedName name="Print_Area" localSheetId="17">CAD_SINZ!$B$1:$I$13</definedName>
    <definedName name="Print_Area" localSheetId="16">CAD_TACHA!$B$2:$R$15</definedName>
    <definedName name="Print_Area" localSheetId="6">CAD_VAL!$B$1:$N$10</definedName>
    <definedName name="Print_Area" localSheetId="0">RESUMO_INVENT!$B$2:$AJ$60</definedName>
    <definedName name="Print_Titles" localSheetId="11">CAD_CERCA!$7:$10</definedName>
    <definedName name="Print_Titles" localSheetId="7">CAD_DAR!$7:$10</definedName>
    <definedName name="Print_Titles" localSheetId="14">CAD_DEFENSA!$8:$11</definedName>
    <definedName name="Print_Titles" localSheetId="8">CAD_EDA!$7:$10</definedName>
    <definedName name="Print_Titles" localSheetId="13">CAD_GRAMA!$2:$5</definedName>
    <definedName name="Print_Titles" localSheetId="4">CAD_MFC!$8:$11</definedName>
    <definedName name="Print_Titles" localSheetId="9">CAD_OAC!$12:$15</definedName>
    <definedName name="Print_Titles" localSheetId="10">CAD_OAE!$12:$15</definedName>
    <definedName name="Print_Titles" localSheetId="12">CAD_ROCADA!$6:$9</definedName>
    <definedName name="Print_Titles" localSheetId="5">CAD_SAR!$8:$11</definedName>
    <definedName name="Print_Titles" localSheetId="1">CAD_SEG!$11:$14</definedName>
    <definedName name="Print_Titles" localSheetId="18">CAD_SINH!$16:$19</definedName>
    <definedName name="Print_Titles" localSheetId="15">CAD_SINV!$10:$13</definedName>
    <definedName name="Print_Titles" localSheetId="17">CAD_SINZ!$6:$9</definedName>
    <definedName name="Print_Titles" localSheetId="16">CAD_TACHA!$12:$15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hidden="1">{#N/A,#N/A,FALSE,"MO (2)"}</definedName>
    <definedName name="salete.com" hidden="1">{#N/A,#N/A,FALSE,"MO (2)"}</definedName>
    <definedName name="SASA" hidden="1">{#N/A,#N/A,FALSE,"MO (2)"}</definedName>
    <definedName name="sasa.com" hidden="1">{#N/A,#N/A,FALSE,"MO (2)"}</definedName>
    <definedName name="sasaasa" hidden="1">{#N/A,#N/A,FALSE,"MO (2)"}</definedName>
    <definedName name="SASADE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hidden="1">#REF!</definedName>
    <definedName name="SS" hidden="1">{#N/A,#N/A,FALSE,"MO (2)"}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11">CAD_CERCA!$1:$10</definedName>
    <definedName name="_xlnm.Print_Titles" localSheetId="7">CAD_DAR!$2:$10</definedName>
    <definedName name="_xlnm.Print_Titles" localSheetId="14">CAD_DEFENSA!$1:$11</definedName>
    <definedName name="_xlnm.Print_Titles" localSheetId="8">CAD_EDA!$2:$10</definedName>
    <definedName name="_xlnm.Print_Titles" localSheetId="13">CAD_GRAMA!$2:$5</definedName>
    <definedName name="_xlnm.Print_Titles" localSheetId="4">CAD_MFC!$1:$11</definedName>
    <definedName name="_xlnm.Print_Titles" localSheetId="9">CAD_OAC!$1:$15</definedName>
    <definedName name="_xlnm.Print_Titles" localSheetId="12">CAD_ROCADA!$1:$9</definedName>
    <definedName name="_xlnm.Print_Titles" localSheetId="5">CAD_SAR!$1:$11</definedName>
    <definedName name="_xlnm.Print_Titles" localSheetId="18">CAD_SINH!$1:$19</definedName>
    <definedName name="_xlnm.Print_Titles" localSheetId="15">CAD_SINV!$2:$13</definedName>
    <definedName name="_xlnm.Print_Titles" localSheetId="17">CAD_SINZ!$1:$9</definedName>
    <definedName name="_xlnm.Print_Titles" localSheetId="16">CAD_TACHA!$2:$15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hidden="1">{#N/A,#N/A,FALSE,"MO (2)"}</definedName>
    <definedName name="vvv" hidden="1">{#N/A,#N/A,FALSE,"MO (2)"}</definedName>
    <definedName name="vvv_1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hidden="1">{#N/A,#N/A,FALSE,"MO (2)"}</definedName>
    <definedName name="wwwwwb" hidden="1">{#N/A,#N/A,TRUE,"Serviços"}</definedName>
    <definedName name="wwwwww" hidden="1">{#N/A,#N/A,FALSE,"MO (2)"}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1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169" l="1"/>
  <c r="O18" i="1169"/>
  <c r="O17" i="1169"/>
  <c r="O16" i="1169"/>
  <c r="M14" i="1171" l="1"/>
  <c r="M13" i="1171"/>
  <c r="M12" i="1171"/>
  <c r="M11" i="1171"/>
  <c r="N17" i="1170"/>
  <c r="O17" i="1170" s="1"/>
  <c r="N16" i="1170"/>
  <c r="O16" i="1170" l="1"/>
  <c r="N16" i="1153" l="1"/>
  <c r="N18" i="1153" s="1"/>
</calcChain>
</file>

<file path=xl/sharedStrings.xml><?xml version="1.0" encoding="utf-8"?>
<sst xmlns="http://schemas.openxmlformats.org/spreadsheetml/2006/main" count="524" uniqueCount="267">
  <si>
    <t>RODOVIA:</t>
  </si>
  <si>
    <t>TRECHO:</t>
  </si>
  <si>
    <t>SEGMENTO:</t>
  </si>
  <si>
    <t>EXTENSÃO:</t>
  </si>
  <si>
    <t>SUBTRECHO:</t>
  </si>
  <si>
    <t>KM</t>
  </si>
  <si>
    <t>Pista</t>
  </si>
  <si>
    <t>MT</t>
  </si>
  <si>
    <t>Concreto</t>
  </si>
  <si>
    <t>SNV</t>
  </si>
  <si>
    <t>LOCALIZAÇÃO</t>
  </si>
  <si>
    <t>COORDENADA INICIAL</t>
  </si>
  <si>
    <t>CORDENADA FINAL</t>
  </si>
  <si>
    <t>LAT</t>
  </si>
  <si>
    <t>LONG</t>
  </si>
  <si>
    <t>TIPO DE PISTA</t>
  </si>
  <si>
    <t>KM FINAL</t>
  </si>
  <si>
    <t>KM INICIAL</t>
  </si>
  <si>
    <t>PISTA</t>
  </si>
  <si>
    <t>M</t>
  </si>
  <si>
    <t>ORIENTAÇÕES PARA INVENTÁRIO DA INTERVENÇÃO FUNCIONAL DA PISTA E DO ACOSTAMENTO</t>
  </si>
  <si>
    <t xml:space="preserve">1. Indicação dos locais que a Intervenção Funcional da Pista e do Acostamento abrange:
- Não se aplica.
- Direito.
- Esquerdo.
- Ambos os Lados.
</t>
  </si>
  <si>
    <t xml:space="preserve">2. Tipos de Solução para Intervenção Funcional da Pista e do Acostamento de acordo com a resolução do PATO:
- I – microrrevestimento em 2 (duas) camadas (e = 1,5 cm) para rejuvenescimento.
- II – reperfilagem (CBUQ massa fina e = 2,0 cm), para eliminar irregularidade elevada.
- III – fresagem com recomposição de CBUQ, na espessura do pavimento existente, em locais de trincamento tipos FC-2, FC-3, instabilidade de massa, irregularidade elevada ou trilha de roda;
- IV – TSD sem polímero em trechos com tráfego médio a baixo, VMD comercial até 2.000 (dois mil).
- V – TSD com polímero em trechos de tráfego elevado, VMD comercial superior a 2.000 (dois mil), a critério do DNIT.
</t>
  </si>
  <si>
    <t>CADASTRO DE INTERVENÇÃO FUNCIONAL DA PISTA E ACOSTAMENTO</t>
  </si>
  <si>
    <t>Indicação do Local da Intervenção
Funcional¹</t>
  </si>
  <si>
    <t>Tipo da Solução²</t>
  </si>
  <si>
    <t>Área de Intervenção (m²)</t>
  </si>
  <si>
    <t>Acostamento</t>
  </si>
  <si>
    <t>3ª Faixa</t>
  </si>
  <si>
    <t>ÁREA TOTAL DA INTERVENÇÃO FUNCIONAL (ATIF):</t>
  </si>
  <si>
    <t>ÁREA TOTAL DO SEGMENTO (ATS):</t>
  </si>
  <si>
    <t>ATIF / ATS:</t>
  </si>
  <si>
    <t>Observação</t>
  </si>
  <si>
    <t>SNV VERSÃO:</t>
  </si>
  <si>
    <t>DATA DO INVENTÁRIO</t>
  </si>
  <si>
    <t>UNIDADE LOCAL</t>
  </si>
  <si>
    <t>RESUMO DO INVENTÁRIO</t>
  </si>
  <si>
    <t>Plataforma e Faixa de Domínio</t>
  </si>
  <si>
    <t>Drenagem e Obras de Arte</t>
  </si>
  <si>
    <t>Segurança</t>
  </si>
  <si>
    <t>Comprimento Equivalente de Faixa de Pista por Tipo de Revestimento (kmf)</t>
  </si>
  <si>
    <t>Comprimento de Drenagem de Plataforma por Tipo
de Revestimento (m)</t>
  </si>
  <si>
    <t>Área de Placas (m²)</t>
  </si>
  <si>
    <t>CP</t>
  </si>
  <si>
    <t>CA</t>
  </si>
  <si>
    <t>TS</t>
  </si>
  <si>
    <t>NP</t>
  </si>
  <si>
    <t>Meios - Fios (m)</t>
  </si>
  <si>
    <t>C</t>
  </si>
  <si>
    <t>Quantidade de Suporte por Tipo de Material (un)</t>
  </si>
  <si>
    <t>Comprimento de Faixa de Acostamento por Tipo de Revestimento (kmfa)</t>
  </si>
  <si>
    <t>Sarjetas</t>
  </si>
  <si>
    <t>MD</t>
  </si>
  <si>
    <t>Madeira</t>
  </si>
  <si>
    <t>Metálico</t>
  </si>
  <si>
    <t>NR</t>
  </si>
  <si>
    <t>PL</t>
  </si>
  <si>
    <t>Polimérico</t>
  </si>
  <si>
    <t>Comprimento de Cerca (km)</t>
  </si>
  <si>
    <t>Comprimento de Cerca</t>
  </si>
  <si>
    <t>Comprimento de Drenagem Fora da Plataforma por Tipo de Revestimento (m)</t>
  </si>
  <si>
    <t>Valeta de Proteção de Cortes (m)</t>
  </si>
  <si>
    <t>Quantidade de Tacha / Tachão Refletivos (und)</t>
  </si>
  <si>
    <t>Monodirecional Tipo III</t>
  </si>
  <si>
    <t>B</t>
  </si>
  <si>
    <t>Bidirecional Tipo III</t>
  </si>
  <si>
    <t>Área de Roçada com Roçadeira Costal (ha)</t>
  </si>
  <si>
    <t>Valeta de Proteção de Aterros (m)</t>
  </si>
  <si>
    <t>Comprimento de Guarda-corpo por Tipo de Material (m)</t>
  </si>
  <si>
    <t>Área de Roçada Mecanizada (ha)</t>
  </si>
  <si>
    <t>Descidas D'Agua (m)</t>
  </si>
  <si>
    <t>Comprimento de Defensas (m)</t>
  </si>
  <si>
    <t>Área de Capina (m²)</t>
  </si>
  <si>
    <t>Volume de Bueiro (m³)</t>
  </si>
  <si>
    <t>Comprimento de Barreira New Jersey (m)</t>
  </si>
  <si>
    <t>Área Gramada (m²)</t>
  </si>
  <si>
    <t>Área de Caiação (m²)</t>
  </si>
  <si>
    <t>Obra de Arte Especial - OAE (m)</t>
  </si>
  <si>
    <t>Observações:</t>
  </si>
  <si>
    <t>Responsável - Cargo e Função</t>
  </si>
  <si>
    <t>ORIENTAÇÃO PARA CADASTRO DE SEGMENTO</t>
  </si>
  <si>
    <t>1, Refere-se ao tipo de pista possível de ser cadastrada</t>
  </si>
  <si>
    <t>Pista Simples</t>
  </si>
  <si>
    <t xml:space="preserve">Pista Dupla Crescente </t>
  </si>
  <si>
    <t>Marginal Esquerda</t>
  </si>
  <si>
    <t>Marginal Direita</t>
  </si>
  <si>
    <t>CADASTRO DO SEGMENTO</t>
  </si>
  <si>
    <t>TIPO DE PISTA 1</t>
  </si>
  <si>
    <t>ORIENTAÇÕES PARA INVENTÁRIO DA PISTA</t>
  </si>
  <si>
    <t>CADASTRO DE PISTA</t>
  </si>
  <si>
    <t>FAIXA ADICIONAL</t>
  </si>
  <si>
    <t>Extensão da Pista (KM)</t>
  </si>
  <si>
    <t>Km de Faixa</t>
  </si>
  <si>
    <t>Observações</t>
  </si>
  <si>
    <t>N de Faixa 2</t>
  </si>
  <si>
    <t>Lado 3</t>
  </si>
  <si>
    <t>Largura Total (m) 4</t>
  </si>
  <si>
    <t>ORIENTAÇÕES PARA INVENTÁRIO DO ACOSTAMENTO</t>
  </si>
  <si>
    <t>CADASTRO DE ACOSTAMENTO</t>
  </si>
  <si>
    <t>Extensão de
Acostamento
(km)</t>
  </si>
  <si>
    <t>kmf de
Acostamento</t>
  </si>
  <si>
    <t>Esquerdo</t>
  </si>
  <si>
    <t>Direito</t>
  </si>
  <si>
    <t>ORIENTAÇÕES PARA INVENTÁRIO DO MEIO FIO</t>
  </si>
  <si>
    <t>CADASTRO DE MEIO FIO</t>
  </si>
  <si>
    <t>Condição 1</t>
  </si>
  <si>
    <t>Tipo 2</t>
  </si>
  <si>
    <t>Extensão
(m)</t>
  </si>
  <si>
    <t>Largura 3
(m)</t>
  </si>
  <si>
    <t>Área da
Superfície
para
Caiação (m²)</t>
  </si>
  <si>
    <t>Área de
Capina 4
(m²)</t>
  </si>
  <si>
    <t>Lado (E/D)</t>
  </si>
  <si>
    <t>ORIENTAÇÕES PARA INVENTÁRIO DA SARJETA</t>
  </si>
  <si>
    <t>CADASTRO DE SARJETA</t>
  </si>
  <si>
    <t>Largura3
(m)</t>
  </si>
  <si>
    <t>Área de
Capina4
(m²)</t>
  </si>
  <si>
    <t>ORIENTAÇÕES PARA INVENTÁRIO DA VALETA</t>
  </si>
  <si>
    <t>CADASTRO DE VALETA</t>
  </si>
  <si>
    <t>ORIENTAÇÕES PARA INVENTÁRIO DA DESCIDA D'ÁGUA</t>
  </si>
  <si>
    <t>CADASTRO DE DESCIDA D'ÁGUA</t>
  </si>
  <si>
    <t xml:space="preserve">COORDENADA </t>
  </si>
  <si>
    <t>ORIENTAÇÕES PARA INVENTÁRIO DA  ENTRADA PARA DESCIDA D'ÁGUA</t>
  </si>
  <si>
    <t>CADASTRO DA ENTRADA PARA DESCIDA D'ÁGUA</t>
  </si>
  <si>
    <t>ORIENTAÇÕES PARA INVENTÁRIO DAS OBRAS DE ARTE CORRENTE - OAC</t>
  </si>
  <si>
    <t>CADASTRO DE OBRAS DE ARTE CORRENTE - OAC</t>
  </si>
  <si>
    <t>Posição 2</t>
  </si>
  <si>
    <t>Tipo 3</t>
  </si>
  <si>
    <t>Dimensão 4 (m)</t>
  </si>
  <si>
    <t>Linhas 5</t>
  </si>
  <si>
    <t>Esconsidade 6 (º)</t>
  </si>
  <si>
    <t>Largura da Pista SNV (m)</t>
  </si>
  <si>
    <t>Extensão da
OAC
(m)</t>
  </si>
  <si>
    <t>Volume 7
(m³)</t>
  </si>
  <si>
    <t>Observações 7</t>
  </si>
  <si>
    <t>ORIENTAÇÕES PARA INVENTÁRIO DAS OBRAS DE ARTE ESPECIAL - OAE</t>
  </si>
  <si>
    <t>CADASTRO DE OBRAS DE ARTE ESPECIAL - OAE</t>
  </si>
  <si>
    <t>Extensão
Total da
Ponte
(m)</t>
  </si>
  <si>
    <t>Dispositivo de Segurança Lateral 1</t>
  </si>
  <si>
    <t>Área da Superfície
para Caiação7
(m²)</t>
  </si>
  <si>
    <t>Foto</t>
  </si>
  <si>
    <t>Nº</t>
  </si>
  <si>
    <t>Nome 1</t>
  </si>
  <si>
    <t>Condição2</t>
  </si>
  <si>
    <t>Posição 4</t>
  </si>
  <si>
    <t>Lado 5</t>
  </si>
  <si>
    <t>Extensão 6 (m)</t>
  </si>
  <si>
    <t>ORIENTAÇÕES PARA INVENTÁRIO DE CERCA</t>
  </si>
  <si>
    <t>1, A condição da Cerca a ser inventariada pode ser classificada como:
- Existente, quando identificada a presença deste elemento,
- Indicação de Necessidade de Implantação, quando o trecho apresentar necessidade de implantação de Cerca,</t>
  </si>
  <si>
    <t>2, Tipos de Cerca:
- Cerca com Mourão de Madeira (CMM)
- Cerca com Mourão de Concreto seção Triangular (CMCT)
- Cerca com Mourão de Concreto seção Quadrada (CMCQ)
Caso o trecho apresente necessidade de implantação de Cerca, preencher com "A definir" ou com o Tipo de Cerca,</t>
  </si>
  <si>
    <t>CADASTRO DE CERCAS</t>
  </si>
  <si>
    <t>Extensão (m)</t>
  </si>
  <si>
    <t>ORIENTAÇÕES PARA INVENTÁRIO DA ÁREA DE ROÇADA</t>
  </si>
  <si>
    <t>CADASTRO DA ÁREA DE ROÇADA</t>
  </si>
  <si>
    <t>Tipo 1</t>
  </si>
  <si>
    <t>Largura
(m)</t>
  </si>
  <si>
    <t>Área
(ha)</t>
  </si>
  <si>
    <t>CADASTRO DE ÁREA GRAMADA</t>
  </si>
  <si>
    <t>Largura (m)</t>
  </si>
  <si>
    <t>Área (m²)</t>
  </si>
  <si>
    <t>ORIENTAÇÕES PARA INVENTÁRIO DA DEFENSA E ANCORAGEM</t>
  </si>
  <si>
    <t>CADASTRO DA DEFENSA E ANCORAGEM</t>
  </si>
  <si>
    <t>Defensa ou Ancoragem 2</t>
  </si>
  <si>
    <t>ORIENTAÇÕES PARA INVENTÁRIO DA SINALIZAÇÃO VERTICAL</t>
  </si>
  <si>
    <t>CADASTRO DE  SINALIZAÇÃO VERTICAL</t>
  </si>
  <si>
    <t>Tipo de Placa 2</t>
  </si>
  <si>
    <t>Suporte 4</t>
  </si>
  <si>
    <t>Área da
Placa
(m²)</t>
  </si>
  <si>
    <t>Capina 5
(m²)</t>
  </si>
  <si>
    <t xml:space="preserve">KM </t>
  </si>
  <si>
    <t>Circular</t>
  </si>
  <si>
    <t>Retangular/Losangular</t>
  </si>
  <si>
    <t>Diâmetro (m)</t>
  </si>
  <si>
    <t>Altura (m)</t>
  </si>
  <si>
    <t>Tipo</t>
  </si>
  <si>
    <t>Qtde</t>
  </si>
  <si>
    <t>ORIENTAÇÕES PARA INVENTÁRIO DA  TACHA / TACHÃO</t>
  </si>
  <si>
    <t>CADASTRO DE TACHA / TACHÃO</t>
  </si>
  <si>
    <t>Tipo de Tacha/Tachão</t>
  </si>
  <si>
    <t>Cadência 6
(un/m)</t>
  </si>
  <si>
    <t>Quantidade
(un)</t>
  </si>
  <si>
    <t xml:space="preserve">Tacha ou  Tachão 3(m)
</t>
  </si>
  <si>
    <t>Material 4</t>
  </si>
  <si>
    <t>Direção - Tipo 5</t>
  </si>
  <si>
    <t>ORIENTAÇÕES PARA INVENTÁRIO DE SINALIZAÇÃO HORIZONTAL - INSCRIÇÕES NO PAVIMENTO</t>
  </si>
  <si>
    <t>CADASTRO DE INSCRIÇÕES DE PAVIMENTO</t>
  </si>
  <si>
    <t>Tipo de Inscrição no Pavimento 1</t>
  </si>
  <si>
    <t>Área da Inscrição (m²)</t>
  </si>
  <si>
    <t>ORIENTAÇÕES PARA INVENTÁRIO DAS MARCAS LONGITUDINAIS</t>
  </si>
  <si>
    <t>1. A posição da Marca Longitudinal refere-se em relação à pista no sentido inventariado: Eixo, Bordo Direito ou Bordo Esquerdo.</t>
  </si>
  <si>
    <t>2. Consideração do tipo de Linha de acordo com o Manual Brasileiro de Sinalização de Trânsito do CONTRAN, volume IV:
- Linha Simples Contínua (LBO)
- Linha Simples Seccionada (LFO-2;LCO)
- Linha Dupla Contínua (LFO-3)
- Linha Contínua / Seccionada (LFO-4)
- Linha Dupla Seccionada</t>
  </si>
  <si>
    <t>3. A largura das linhas da sinalização horizontal e a cadência para sinalização horizontal tracejada ou seccionada deverão ser preenchidas de acordo com o Manual Brasileiro de Sinalização de Trânsito do CONTRAN, volume IV:</t>
  </si>
  <si>
    <t>CADASTRO DE SINALIZAÇÃO HORIZONTAL - MARCAS LONGITUDINAIS</t>
  </si>
  <si>
    <t>Posição 1</t>
  </si>
  <si>
    <t>Tipo de Linha 2</t>
  </si>
  <si>
    <t>Largura da
Linha3
(m)</t>
  </si>
  <si>
    <t>Área da
Linha
(m²)</t>
  </si>
  <si>
    <t>Cadência 3
t : e</t>
  </si>
  <si>
    <t>ORIENTAÇÕES PARA INVENTÁRIO DA OCORRÊNCIA DSM</t>
  </si>
  <si>
    <t>1. Indicação dos locais que a Ocorrência DSM abrange:
- Não se aplica.
- Direito.
- Esquerdo.
- Ambos os Lados.</t>
  </si>
  <si>
    <t>2. Descrição da Ocorrência DSM para auxílio dos quantitativos em escritório dos serviços necessários.</t>
  </si>
  <si>
    <t>CADASTRO DE OCORRÊNCIA PARA DSM</t>
  </si>
  <si>
    <t>Localização</t>
  </si>
  <si>
    <t>Largura da Ocorrência DSM
(m)</t>
  </si>
  <si>
    <t>Comprimento da Ocorrência DSM 
(m)</t>
  </si>
  <si>
    <t>Área da Ocorrência DSM 
(m²)</t>
  </si>
  <si>
    <t>Tipo de Pista</t>
  </si>
  <si>
    <t>KM inicial</t>
  </si>
  <si>
    <t>KM final</t>
  </si>
  <si>
    <t>Coordenada Inicial</t>
  </si>
  <si>
    <t>Coordenada Final</t>
  </si>
  <si>
    <r>
      <t>Indicação do Local da Ocorrência DSM</t>
    </r>
    <r>
      <rPr>
        <b/>
        <vertAlign val="superscript"/>
        <sz val="10"/>
        <rFont val="Arial"/>
        <family val="2"/>
      </rPr>
      <t>1</t>
    </r>
  </si>
  <si>
    <r>
      <t>Descrição da Ocorrência DSM</t>
    </r>
    <r>
      <rPr>
        <b/>
        <vertAlign val="superscript"/>
        <sz val="10"/>
        <rFont val="Arial"/>
        <family val="2"/>
      </rPr>
      <t>2</t>
    </r>
  </si>
  <si>
    <t>Largura Total (m)</t>
  </si>
  <si>
    <t>Revestimento da Faixa Adicional</t>
  </si>
  <si>
    <t>Revestimento da Pista (km)</t>
  </si>
  <si>
    <t>1 - Revestimento do acostamento inventariado conforme Manual de Conservação Rodoviária (Brasil, 2005):
- Concreto Asfáltico
- Cimento Portland
- Tratamento Superficial
- Não Pavimentado</t>
  </si>
  <si>
    <t>Largura do Acostamento (m) 2</t>
  </si>
  <si>
    <t xml:space="preserve">1 - Revestimento da pista e da faixa adicional inventariadas conforme Manual de Conservação Rodoviária (Brasil, 2005):
- Concreto Asfáltico
- Cimento Portland
- Tratamento Superficial
- Não Pavimentado
</t>
  </si>
  <si>
    <t>3 - Refere-se à localização da Faixa Adicional no sentido do inventário da rodovia:
- Esquerdo
- Direito
- Ambos os Lados</t>
  </si>
  <si>
    <t>4 - Área de Capina definida como 0,20 x (extensão da Sarjeta)</t>
  </si>
  <si>
    <t>1 - A condição da Descida d'Água a ser inventariada pode ser classificada como:
- Satisfatória
- Demolir e Recompor
- Recompor
- Indicação de Necessidade de Implantação, caso o trecho apresente necessidade de implantação de Descida d'Água.</t>
  </si>
  <si>
    <t>4 - A largura total da faixa adicional refere-se às larguras das faixas adicionais, considerando os dois lados quando aplicável.</t>
  </si>
  <si>
    <t>2 - O n de faixas refere-se à quantidade de faixas excluindo as faixas adicionais, quando presentes.
A largura total da pista refere-se à largura da pista excluindo a largura das faixas adicionais, quando presentes.</t>
  </si>
  <si>
    <t>2 - Quando o trecho não contar com acostamento em um dos lados, não registrar largura do acostamento deste lado. Quando o trecho não possuir acostamento nos dois lados, não registrar o elemento.</t>
  </si>
  <si>
    <t>3 - A largura do Meio Fio refere-se à largura projetada (somatório das dimensões visíveis) do Meio Fio para o serviço de Caiação.</t>
  </si>
  <si>
    <t>4 - Área de Capina definida como 0,20 x (extensão do Meio Fio).</t>
  </si>
  <si>
    <t>1 - A condição do Meio Fio a ser inventariado pode ser classificada como:
- Satisfatória
- Demolir e Recompor
- Recompor
- Indicação de Necessidade de Implantação, caso o trecho apresente necessidade de implantação de Meio Fio.</t>
  </si>
  <si>
    <t>1 - A condição da Sarjeta a ser inventariada pode ser classificada como:
- Satisfatória
- Demolir e Recompor
- Recompor
- Indicação de Necessidade de Implantação", caso o trecho apresente necessidade de implantação de Sarjeta.</t>
  </si>
  <si>
    <t>3 - A largura da Sarjeta refere-se à largura projetada (somatório das dimensões visíveis) da Sarjeta para o serviço de Caiação.</t>
  </si>
  <si>
    <t>2 - Tipos de Meio Fio, disponíveis no Álbum de projetos – Tipo de Dispositivos de Drenagem - 5. ed. - Rio de Janeiro. 2018 n. p. (IPR. Publ., 736).
Caso o trecho apresente necessidade de implantação de Meio Fio, preencher com "A definir" ou com o Tipo de Meio Fio.</t>
  </si>
  <si>
    <t>2 - Tipos de Sarjeta, disponíveis no Álbum de projetos – Tipo de Dispositivos de Drenagem - 5. ed. - Rio de Janeiro. 2018 n. p. (IPR, Publ., 736).
Caso o trecho apresente necessidade de implantação de Sarjeta, preencher com "A definir" ou com o Tipo de Sarjeta.</t>
  </si>
  <si>
    <t>2 - Tipos de Valeta, disponíveis no Álbum de projetos – Tipo de Dispositivos de Drenagem - 5. ed. - Rio de Janeiro, 2018 n. p. (IPR. Publ., 736).
Caso o trecho apresente necessidade de implantação de Valeta, preencher com "A definir" ou com o Tipo de Valeta.</t>
  </si>
  <si>
    <t>1 - A condição da Valeta a ser inventariada pode ser classificada como:
- Satisfatória
- Demolir e Recompor
- Recompor
- Indicação de Necessidade de Implantação, caso o trecho apresente necessidade de implantação de Valeta.</t>
  </si>
  <si>
    <t>2 - Tipos de Descida D'Água disponíveis no Álbum de projetos – Tipo de Dispositivos de Drenagem - 5. ed. - Rio de Janeiro, 2018 n. p. (IPR. Publ., 736). Caso o local apresente necessidade de implantação de Descida d'Água, preencher com "A definir" ou com o Tipo de Descida d'Água.</t>
  </si>
  <si>
    <t>1 - A condição da Entrada para Descida d'Água a ser inventariada pode ser classificada como:
- Satisfatória
- Demolir e Recompor
- Recompor
- Indicação de Necessidade de Implantação, caso o trecho apresente necessidade de implantação de Entrada para Descida d'Água.</t>
  </si>
  <si>
    <t>2 - Tipos de Entrada para Descida D'Água disponíveis no Álbum de projetos – Tipo de Dispositivos de Drenagem - 5. ed. - Rio de Janeiro, 2018 n. p. (IPR, Publ., 736). Caso o local apresente necessidade de implantação de Entrada para Descida d'Água, preencher com "A definir" ou com o Tipo de Entrada para Descida d'Água.</t>
  </si>
  <si>
    <t>1 - A condição da OAC a ser inventariada pode ser classificada como:
- SATISFATÓRIA
- Demolir e Recompor
- Recompor
- Indicação de Necessidade de Implantação, caso o trecho apresente necessidade de implantação de OAC.</t>
  </si>
  <si>
    <t>2 - Posição da OAC refere-se ao eixo da Rodovia: Transversal ou Longitudinal.</t>
  </si>
  <si>
    <t>3 - Tipos de OAC disponíveis no Álbum de projetos – Tipo de Dispositivos de Drenagem - 5. ed. - Rio de Janeiro, 2018 n. p. (IPR, Publ., 736). Caso o trecho apresente necessidade de implantação de OAC, preencher com "A definir" ou com o Tipo de OAC.</t>
  </si>
  <si>
    <t>4 - A dimensão da OAC refere-se ao:
- Diâmetro, em metros, para elementos do tipo Bueiro Tubular de Concreto e Bueiro Metálico.
- Lado, em metros, para elementos do tipo Bueiro Celular de Concreto.
Caso o trecho apresente necessidade de implantação de OAC, preencher com "A definir" ou com a Dimensão da OAC.</t>
  </si>
  <si>
    <t>5 - Refere-se à quantidade de linhas de OAC de acordo com o tipo do elemento inventariado.
Caso o trecho apresente necessidade de implantação de OAC, preencher com "A definir" ou com a Quantidade de Linhas da OAC.</t>
  </si>
  <si>
    <t>6 - Refere-se à esconsidade da OAC em relação à pista, Caso o trecho apresente necessidade de implantação de OAC, preencher com "A definir" ou com a Esconsidade da OAC.</t>
  </si>
  <si>
    <t>7 - Pode indicar a finalidade da OAC para auxílio do cálculo do orçamento da limpeza e desobstrução da mesma.</t>
  </si>
  <si>
    <t>1 - Utilizar mais de uma linha para a mesma OAE, caso necessite.</t>
  </si>
  <si>
    <t>2 - A condição do Dispositivo de Segurança Lateral a ser inventariado pode ser classificada como:
- Satisfatória, quando pelo menos 50% do elemento apresenta condição satisfatória.
- Recompor, quando até 50% do elemento apresenta necessidade de recomposição.
- Indicação de Necessidade de Implantação, caso o local apresente necessidade de implantação de Dispositivo de Segurança Lateral.</t>
  </si>
  <si>
    <t>3 - Tipos de Dispositivo de Segurança Lateral:
- Guarda Corpo de Concreto - GCC
- Guarda Corpo Metálico -GCM
- Barreira New Jersey - BNJ
Caso o local apresente necessidade de implantação de Dispositivo de Segurança Lateral, preencher com "A definir" ou com o Tipo do Dispositivo de Segurança Lateral.</t>
  </si>
  <si>
    <t>4 - Refere-se à posição do Dispositivo de Segurança Lateral em relação à OAE: Interno ou Externo.</t>
  </si>
  <si>
    <t>5 - Refere-se ao lado do Dispositivo de Segurança Lateral presente na OAE: Direito ou Esquerdo.</t>
  </si>
  <si>
    <t>6 - Considera-se a extensão total da OAE para dimensão da extensão do Dispositivo de Segurança Lateral.</t>
  </si>
  <si>
    <t>7 - Se o tipo de dispositivo for GCC, utiliza-se o fator de conversão de 1,35 m²/m de extensão total do elemento. Se o tipo de dispositivo for BNJ, utiliza-se o fator de conversão de 1,80 m²/m de extensão total do elemento.</t>
  </si>
  <si>
    <t>1 -  Tipo de roçada a ser utilizada: Mecanizada ou Roçadeira Costal.</t>
  </si>
  <si>
    <t>1 - A condição da Defensa ou Ancoragem a ser inventariada pode ser classificada como:
- Satisfatória
- Remover e Recompor
- Recompor
A condição "Remover" refere-se à condição de remover defensas ou ancoragens que não apresentem condições adequadas de uso.
A condição "Recompor" refere-se à condição de recompor uma defensa ou ancoragem já existente e que não apresente condições adequadas de uso ou que já foi removida.</t>
  </si>
  <si>
    <t>2 - Refere-se ao elemento inventariado: Defensa ou Ancoragem.</t>
  </si>
  <si>
    <t>3 - Tipos de Defensa ou Ancoragem:
- Defensa Maleável Dupla (DMD)
- Defensa Maleável Simples (DMS)
- Defensa Semimaleável Dupla (DSD)
- Defensa Semimaleável Simples (DSS)</t>
  </si>
  <si>
    <t>2 - Consideração do tipo de Sinalização Vertical de acordo com o Manual Brasileiro de Sinalização de Trânsito do CONTRAN, volumes I, II e III:
- Regulamentação
- Advertência
- Indicação
Caso o trecho apresente necessidade de implantação de Sinalização Vertical, preencher com "A definir".</t>
  </si>
  <si>
    <t>1 - A condição da Sinalização Vertical a ser inventariada pode ser classificada como:
- Placa Satisfatória e Suporte Satisfatório
- Placa Satisfatória e Recompor Suporte
- Recompor Placa e Suporte Satisfatório
- Recompor Placa e Recompor Suporte
- Indicação de Necessidade de Implantação, caso o trecho apresente necessidade de implantação de Sinalização Vertical.</t>
  </si>
  <si>
    <t>3 - Caso o local apresente necessidade de implantação de Sinalização Vertical, a Dimensão da Placa deve ser definida em escritório.</t>
  </si>
  <si>
    <t>4 - Tipos de Suporte:
- Madeira (MD)
- Metálico (MT)
- Polimérico (PL)
Caso o trecho apresente necessidade de implantação de Sinalização Vertical, preencher com "A definir".</t>
  </si>
  <si>
    <t>5 - Área de Capina para limpeza de uma área de 3 metros de raio ao redor de cada placa de Sinalização Vertical.</t>
  </si>
  <si>
    <t>Dimensões 3</t>
  </si>
  <si>
    <t>1 - A condição da Tacha ou do Tachão pode ser classificada como:
- Existente
- Indicação de Necessidade de Implantação, quando o trecho apresentar indicação de necessidade de implantação de tacha ou tachão.</t>
  </si>
  <si>
    <t>2 - A posição da Tacha ou do Tachão refere-se em relação à pista no sentido inventariado: Eixo, Bordo Direito ou Bordo Esquerdo.</t>
  </si>
  <si>
    <t>3 - Consideração do elemento inventariado de acordo com o SICRO:
- Tacha
- Tachão
Caso o trecho apresente necessidade de implantação de Tacha ou Tachão, preencher com "A definir" ou com o Material do elemento.</t>
  </si>
  <si>
    <t>4 - Consideração dos Materiais da Tacha e do Tachão, conforme SICRO:
- Plástico Injetado
- Resina Sintética
- Metálica
Caso o trecho apresente necessidade de implantação de Tacha ou Tachão, preencher com "A definir" ou com o Material do elemento.</t>
  </si>
  <si>
    <t>5 - Consideração da Direção e do Tipo da Tacha e do Tachão, conforme SICRO:
- Monodirecional tipo I
- Monodirecional tipo II
- Monodirecional tipo III
- Monodirecional tipo IV
- Bidirecional tipo I
- Bidirecional tipo II
- Bidirecional tipo III
- Bidirecional tipo IV
Caso o trecho apresente necessidade de implantação de Tacha ou Tachão, preencher com "A definir" ou com a direção e o Tipo do elemento.</t>
  </si>
  <si>
    <t>6 - Consideração da Cadência da Tacha e do Tachão, conforme orientações do BR-Legal.
Caso o trecho apresente necessidade de implantação de Tacha ou Tachão, preencher com "A definir" ou com a cadência do elemento.</t>
  </si>
  <si>
    <t>1 - Consideração dos tipos de Inscrições no Pavimento de acordo com o Manual Brasileiro de Sinalização de Trânsito do CONTRAN, volume IV:
- Setas
- Zebrados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</si>
</sst>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9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#,##0.000"/>
    <numFmt numFmtId="177" formatCode="0.00000000"/>
    <numFmt numFmtId="178" formatCode="_(* #,##0.00_);_(* \(#,##0.00\);_(* \-??_);_(@_)"/>
    <numFmt numFmtId="179" formatCode="[$€]#,##0.00_);[Red]\([$€]#,##0.00\)"/>
    <numFmt numFmtId="180" formatCode="#,##0.0000\ ;&quot; (&quot;#,##0.0000\);&quot; -&quot;#.00\ ;@\ "/>
    <numFmt numFmtId="181" formatCode="&quot;Cr$&quot;#,##0.00_);\(&quot;Cr$&quot;#,##0.00\)"/>
    <numFmt numFmtId="182" formatCode="_(&quot;Cr$&quot;* #,##0_);_(&quot;Cr$&quot;* \(#,##0\);_(&quot;Cr$&quot;* &quot;-&quot;_);_(@_)"/>
    <numFmt numFmtId="183" formatCode="&quot;R$&quot;\ #,##0.00_);[Red]\(&quot;R$&quot;\ #,##0.00\)"/>
    <numFmt numFmtId="184" formatCode="\$#,##0\ ;\(\$#,##0\)"/>
    <numFmt numFmtId="185" formatCode="_(&quot;Cr$&quot;* #,##0.00_);_(&quot;Cr$&quot;* \(#,##0.00\);_(&quot;Cr$&quot;* &quot;-&quot;??_);_(@_)"/>
    <numFmt numFmtId="186" formatCode="%#,#00"/>
    <numFmt numFmtId="187" formatCode="#.##000"/>
    <numFmt numFmtId="188" formatCode="#."/>
    <numFmt numFmtId="189" formatCode=";;;"/>
    <numFmt numFmtId="190" formatCode="#.##0,"/>
    <numFmt numFmtId="191" formatCode="_(&quot;R$&quot;* #,##0.00_);_(&quot;R$&quot;* \(#,##0.00\);_(&quot;R$&quot;* \-??_);_(@_)"/>
    <numFmt numFmtId="192" formatCode="#,##0.0"/>
    <numFmt numFmtId="193" formatCode="&quot;Cr$&quot;#,##0.00_);&quot;(Cr$&quot;#,##0.00\)"/>
    <numFmt numFmtId="194" formatCode="\$#,##0.00_);&quot;($&quot;#,##0.00\)"/>
    <numFmt numFmtId="195" formatCode="\$#,##0_);&quot;($&quot;#,##0\)"/>
    <numFmt numFmtId="196" formatCode="mmmm\ d&quot;, &quot;yyyy"/>
    <numFmt numFmtId="197" formatCode="_([$€-2]* #,##0.00_);_([$€-2]* \(#,##0.00\);_([$€-2]* \-??_)"/>
    <numFmt numFmtId="198" formatCode="\$#,##0\ ;&quot;($&quot;#,##0\)"/>
    <numFmt numFmtId="199" formatCode="_(&quot;Cr$&quot;* #,##0.00_);_(&quot;Cr$&quot;* \(#,##0.00\);_(&quot;Cr$&quot;* \-??_);_(@_)"/>
    <numFmt numFmtId="200" formatCode="#,##0.000;[Red]#,##0.000"/>
    <numFmt numFmtId="201" formatCode="&quot;R$&quot;\ #,##0_);[Red]\(&quot;R$&quot;\ #,##0\)"/>
    <numFmt numFmtId="202" formatCode="&quot;R$&quot;\ #,##0.00_);\(&quot;R$&quot;\ #,##0.00\)"/>
    <numFmt numFmtId="203" formatCode="d/m/yy"/>
    <numFmt numFmtId="204" formatCode="_(&quot;$&quot;* #,##0.00_);_(&quot;$&quot;* \(#,##0.00\);_(&quot;$&quot;* &quot;-&quot;??_);_(@_)"/>
    <numFmt numFmtId="205" formatCode="0.000"/>
    <numFmt numFmtId="206" formatCode="0.0"/>
    <numFmt numFmtId="207" formatCode="0.000000"/>
    <numFmt numFmtId="208" formatCode="#,##0.000000"/>
    <numFmt numFmtId="209" formatCode="h:m"/>
  </numFmts>
  <fonts count="1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vertAlign val="superscript"/>
      <sz val="10"/>
      <name val="Arial"/>
      <family val="2"/>
    </font>
    <font>
      <b/>
      <sz val="14"/>
      <color rgb="FF000000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2400">
    <xf numFmtId="0" fontId="0" fillId="0" borderId="0"/>
    <xf numFmtId="169" fontId="61" fillId="0" borderId="0"/>
    <xf numFmtId="181" fontId="67" fillId="0" borderId="0">
      <protection locked="0"/>
    </xf>
    <xf numFmtId="181" fontId="67" fillId="0" borderId="0">
      <protection locked="0"/>
    </xf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3" fontId="70" fillId="0" borderId="0" applyFont="0" applyFill="0" applyBorder="0" applyAlignment="0" applyProtection="0"/>
    <xf numFmtId="182" fontId="57" fillId="0" borderId="0" applyFont="0" applyFill="0" applyBorder="0" applyAlignment="0" applyProtection="0"/>
    <xf numFmtId="183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62" fillId="0" borderId="0"/>
    <xf numFmtId="179" fontId="63" fillId="0" borderId="0" applyFont="0" applyFill="0" applyBorder="0" applyAlignment="0" applyProtection="0"/>
    <xf numFmtId="2" fontId="72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63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1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5" fillId="0" borderId="0" applyFont="0" applyFill="0" applyBorder="0" applyAlignment="0" applyProtection="0"/>
    <xf numFmtId="172" fontId="65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5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4" fontId="72" fillId="0" borderId="0" applyFont="0" applyFill="0" applyBorder="0" applyAlignment="0" applyProtection="0"/>
    <xf numFmtId="185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3" fillId="0" borderId="0"/>
    <xf numFmtId="49" fontId="57" fillId="0" borderId="0" applyProtection="0"/>
    <xf numFmtId="0" fontId="66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80" fillId="0" borderId="0"/>
    <xf numFmtId="0" fontId="73" fillId="0" borderId="0"/>
    <xf numFmtId="0" fontId="7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3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6" fontId="74" fillId="0" borderId="0">
      <protection locked="0"/>
    </xf>
    <xf numFmtId="187" fontId="74" fillId="0" borderId="0">
      <protection locked="0"/>
    </xf>
    <xf numFmtId="9" fontId="56" fillId="0" borderId="0" applyFont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7" fillId="0" borderId="0" applyFont="0" applyFill="0" applyBorder="0" applyAlignment="0" applyProtection="0"/>
    <xf numFmtId="188" fontId="75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6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3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80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5" fillId="0" borderId="0" applyFont="0" applyFill="0" applyBorder="0" applyAlignment="0" applyProtection="0"/>
    <xf numFmtId="177" fontId="57" fillId="0" borderId="0" applyFill="0" applyBorder="0" applyAlignment="0" applyProtection="0"/>
    <xf numFmtId="171" fontId="57" fillId="0" borderId="0" applyFill="0" applyBorder="0" applyAlignment="0" applyProtection="0"/>
    <xf numFmtId="169" fontId="73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1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76" fillId="0" borderId="0" applyNumberFormat="0" applyFill="0" applyBorder="0" applyAlignment="0" applyProtection="0"/>
    <xf numFmtId="189" fontId="67" fillId="0" borderId="0">
      <protection locked="0"/>
    </xf>
    <xf numFmtId="189" fontId="67" fillId="0" borderId="0">
      <protection locked="0"/>
    </xf>
    <xf numFmtId="187" fontId="74" fillId="0" borderId="0">
      <protection locked="0"/>
    </xf>
    <xf numFmtId="190" fontId="74" fillId="0" borderId="0">
      <protection locked="0"/>
    </xf>
    <xf numFmtId="169" fontId="56" fillId="0" borderId="0" applyFont="0" applyFill="0" applyBorder="0" applyAlignment="0" applyProtection="0"/>
    <xf numFmtId="169" fontId="77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2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7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1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3" fillId="0" borderId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4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6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8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10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2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5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0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17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8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6" borderId="0" applyNumberFormat="0" applyBorder="0" applyAlignment="0" applyProtection="0"/>
    <xf numFmtId="0" fontId="84" fillId="16" borderId="0" applyNumberFormat="0" applyBorder="0" applyAlignment="0" applyProtection="0"/>
    <xf numFmtId="0" fontId="84" fillId="15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20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21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193" fontId="86" fillId="0" borderId="0">
      <protection locked="0"/>
    </xf>
    <xf numFmtId="193" fontId="86" fillId="0" borderId="0">
      <protection locked="0"/>
    </xf>
    <xf numFmtId="0" fontId="87" fillId="22" borderId="4" applyNumberFormat="0" applyAlignment="0" applyProtection="0"/>
    <xf numFmtId="0" fontId="87" fillId="22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8" fillId="13" borderId="5" applyNumberFormat="0" applyAlignment="0" applyProtection="0"/>
    <xf numFmtId="0" fontId="88" fillId="13" borderId="5" applyNumberFormat="0" applyAlignment="0" applyProtection="0"/>
    <xf numFmtId="0" fontId="88" fillId="5" borderId="5" applyNumberFormat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39" fontId="56" fillId="0" borderId="0" applyFill="0" applyBorder="0" applyAlignment="0" applyProtection="0"/>
    <xf numFmtId="3" fontId="73" fillId="0" borderId="0" applyFill="0" applyBorder="0" applyAlignment="0" applyProtection="0"/>
    <xf numFmtId="3" fontId="70" fillId="0" borderId="0" applyFont="0" applyFill="0" applyBorder="0" applyAlignment="0" applyProtection="0"/>
    <xf numFmtId="194" fontId="56" fillId="0" borderId="0" applyFill="0" applyBorder="0" applyAlignment="0" applyProtection="0"/>
    <xf numFmtId="195" fontId="56" fillId="0" borderId="0" applyFill="0" applyBorder="0" applyAlignment="0" applyProtection="0"/>
    <xf numFmtId="0" fontId="73" fillId="0" borderId="0" applyFill="0" applyBorder="0" applyAlignment="0" applyProtection="0"/>
    <xf numFmtId="0" fontId="72" fillId="0" borderId="0" applyFont="0" applyFill="0" applyBorder="0" applyAlignment="0" applyProtection="0"/>
    <xf numFmtId="196" fontId="56" fillId="0" borderId="0" applyFill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0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197" fontId="56" fillId="0" borderId="0" applyFill="0" applyBorder="0" applyAlignment="0" applyProtection="0"/>
    <xf numFmtId="2" fontId="56" fillId="0" borderId="0" applyFill="0" applyBorder="0" applyAlignment="0" applyProtection="0"/>
    <xf numFmtId="2" fontId="73" fillId="0" borderId="0" applyFill="0" applyBorder="0" applyAlignment="0" applyProtection="0"/>
    <xf numFmtId="2" fontId="72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3" fillId="0" borderId="0"/>
    <xf numFmtId="0" fontId="63" fillId="0" borderId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74" fontId="73" fillId="0" borderId="0" applyFill="0" applyBorder="0" applyAlignment="0" applyProtection="0"/>
    <xf numFmtId="198" fontId="73" fillId="0" borderId="0" applyFill="0" applyBorder="0" applyAlignment="0" applyProtection="0"/>
    <xf numFmtId="184" fontId="72" fillId="0" borderId="0" applyFont="0" applyFill="0" applyBorder="0" applyAlignment="0" applyProtection="0"/>
    <xf numFmtId="199" fontId="73" fillId="0" borderId="0" applyFill="0" applyBorder="0" applyAlignment="0" applyProtection="0"/>
    <xf numFmtId="185" fontId="56" fillId="0" borderId="0" applyFont="0" applyFill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73" fillId="0" borderId="0"/>
    <xf numFmtId="0" fontId="73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66" fillId="0" borderId="0"/>
    <xf numFmtId="0" fontId="56" fillId="0" borderId="0"/>
    <xf numFmtId="0" fontId="44" fillId="0" borderId="0"/>
    <xf numFmtId="0" fontId="44" fillId="0" borderId="0"/>
    <xf numFmtId="0" fontId="95" fillId="0" borderId="0"/>
    <xf numFmtId="0" fontId="73" fillId="0" borderId="0"/>
    <xf numFmtId="0" fontId="95" fillId="0" borderId="0"/>
    <xf numFmtId="0" fontId="56" fillId="0" borderId="0"/>
    <xf numFmtId="0" fontId="56" fillId="0" borderId="0"/>
    <xf numFmtId="0" fontId="66" fillId="0" borderId="0"/>
    <xf numFmtId="0" fontId="56" fillId="0" borderId="0"/>
    <xf numFmtId="0" fontId="56" fillId="0" borderId="0"/>
    <xf numFmtId="0" fontId="56" fillId="0" borderId="0"/>
    <xf numFmtId="0" fontId="73" fillId="9" borderId="7" applyNumberFormat="0" applyFont="0" applyAlignment="0" applyProtection="0"/>
    <xf numFmtId="0" fontId="73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10" fontId="56" fillId="0" borderId="0" applyFill="0" applyBorder="0" applyAlignment="0" applyProtection="0"/>
    <xf numFmtId="188" fontId="96" fillId="0" borderId="0">
      <protection locked="0"/>
    </xf>
    <xf numFmtId="188" fontId="96" fillId="0" borderId="0">
      <protection locked="0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92" fillId="6" borderId="0" applyNumberFormat="0" applyBorder="0" applyAlignment="0" applyProtection="0"/>
    <xf numFmtId="0" fontId="97" fillId="22" borderId="8" applyNumberFormat="0" applyAlignment="0" applyProtection="0"/>
    <xf numFmtId="0" fontId="97" fillId="22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188" fontId="98" fillId="0" borderId="0">
      <protection locked="0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78" fontId="73" fillId="0" borderId="0" applyFill="0" applyBorder="0" applyAlignment="0" applyProtection="0"/>
    <xf numFmtId="199" fontId="73" fillId="0" borderId="0" applyFill="0" applyBorder="0" applyAlignment="0" applyProtection="0"/>
    <xf numFmtId="178" fontId="73" fillId="0" borderId="0" applyFill="0" applyBorder="0" applyAlignment="0" applyProtection="0"/>
    <xf numFmtId="43" fontId="56" fillId="0" borderId="0" applyFont="0" applyFill="0" applyBorder="0" applyAlignment="0" applyProtection="0"/>
    <xf numFmtId="178" fontId="73" fillId="0" borderId="0" applyFill="0" applyBorder="0" applyAlignment="0" applyProtection="0"/>
    <xf numFmtId="178" fontId="73" fillId="0" borderId="0" applyFill="0" applyBorder="0" applyAlignment="0" applyProtection="0"/>
    <xf numFmtId="198" fontId="73" fillId="0" borderId="0" applyFill="0" applyBorder="0" applyAlignment="0" applyProtection="0"/>
    <xf numFmtId="198" fontId="73" fillId="0" borderId="0" applyFill="0" applyBorder="0" applyAlignment="0" applyProtection="0"/>
    <xf numFmtId="192" fontId="73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98" fontId="73" fillId="0" borderId="0" applyFill="0" applyBorder="0" applyAlignment="0" applyProtection="0"/>
    <xf numFmtId="0" fontId="56" fillId="0" borderId="0" applyFont="0" applyFill="0" applyBorder="0" applyAlignment="0" applyProtection="0"/>
    <xf numFmtId="178" fontId="73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92" fontId="73" fillId="0" borderId="0" applyFill="0" applyBorder="0" applyAlignment="0" applyProtection="0"/>
    <xf numFmtId="178" fontId="73" fillId="0" borderId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64" fillId="0" borderId="1" applyNumberFormat="0" applyFill="0" applyAlignment="0" applyProtection="0"/>
    <xf numFmtId="0" fontId="102" fillId="0" borderId="10" applyNumberFormat="0" applyFill="0" applyAlignment="0" applyProtection="0"/>
    <xf numFmtId="0" fontId="102" fillId="0" borderId="10" applyNumberFormat="0" applyFill="0" applyAlignment="0" applyProtection="0"/>
    <xf numFmtId="0" fontId="107" fillId="0" borderId="10" applyNumberFormat="0" applyFill="0" applyAlignment="0" applyProtection="0"/>
    <xf numFmtId="0" fontId="103" fillId="0" borderId="12" applyNumberFormat="0" applyFill="0" applyAlignment="0" applyProtection="0"/>
    <xf numFmtId="0" fontId="103" fillId="0" borderId="12" applyNumberFormat="0" applyFill="0" applyAlignment="0" applyProtection="0"/>
    <xf numFmtId="0" fontId="108" fillId="0" borderId="11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8" fontId="105" fillId="0" borderId="0">
      <protection locked="0"/>
    </xf>
    <xf numFmtId="188" fontId="105" fillId="0" borderId="0">
      <protection locked="0"/>
    </xf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187" fontId="106" fillId="0" borderId="0">
      <protection locked="0"/>
    </xf>
    <xf numFmtId="190" fontId="106" fillId="0" borderId="0">
      <protection locked="0"/>
    </xf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3" fillId="0" borderId="0" applyFill="0" applyBorder="0" applyAlignment="0" applyProtection="0"/>
    <xf numFmtId="3" fontId="72" fillId="0" borderId="0" applyFont="0" applyFill="0" applyBorder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88" fillId="5" borderId="14" applyNumberFormat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3" fillId="0" borderId="17" applyNumberFormat="0" applyFill="0" applyAlignment="0" applyProtection="0"/>
    <xf numFmtId="0" fontId="103" fillId="0" borderId="17" applyNumberFormat="0" applyFill="0" applyAlignment="0" applyProtection="0"/>
    <xf numFmtId="0" fontId="108" fillId="0" borderId="16" applyNumberFormat="0" applyFill="0" applyAlignment="0" applyProtection="0"/>
    <xf numFmtId="43" fontId="5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6" fillId="0" borderId="0"/>
    <xf numFmtId="0" fontId="37" fillId="0" borderId="0"/>
    <xf numFmtId="0" fontId="66" fillId="12" borderId="0" applyNumberFormat="0" applyBorder="0" applyAlignment="0" applyProtection="0"/>
    <xf numFmtId="0" fontId="66" fillId="14" borderId="0" applyNumberFormat="0" applyBorder="0" applyAlignment="0" applyProtection="0"/>
    <xf numFmtId="0" fontId="66" fillId="9" borderId="0" applyNumberFormat="0" applyBorder="0" applyAlignment="0" applyProtection="0"/>
    <xf numFmtId="0" fontId="66" fillId="7" borderId="0" applyNumberFormat="0" applyBorder="0" applyAlignment="0" applyProtection="0"/>
    <xf numFmtId="0" fontId="66" fillId="11" borderId="0" applyNumberFormat="0" applyBorder="0" applyAlignment="0" applyProtection="0"/>
    <xf numFmtId="0" fontId="66" fillId="9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66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6" fillId="4" borderId="0" applyNumberFormat="0" applyBorder="0" applyAlignment="0" applyProtection="0"/>
    <xf numFmtId="0" fontId="37" fillId="36" borderId="0" applyNumberFormat="0" applyBorder="0" applyAlignment="0" applyProtection="0"/>
    <xf numFmtId="0" fontId="66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6" fillId="6" borderId="0" applyNumberFormat="0" applyBorder="0" applyAlignment="0" applyProtection="0"/>
    <xf numFmtId="0" fontId="37" fillId="40" borderId="0" applyNumberFormat="0" applyBorder="0" applyAlignment="0" applyProtection="0"/>
    <xf numFmtId="0" fontId="66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66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6" fillId="8" borderId="0" applyNumberFormat="0" applyBorder="0" applyAlignment="0" applyProtection="0"/>
    <xf numFmtId="0" fontId="37" fillId="44" borderId="0" applyNumberFormat="0" applyBorder="0" applyAlignment="0" applyProtection="0"/>
    <xf numFmtId="0" fontId="66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6" fillId="10" borderId="0" applyNumberFormat="0" applyBorder="0" applyAlignment="0" applyProtection="0"/>
    <xf numFmtId="0" fontId="37" fillId="48" borderId="0" applyNumberFormat="0" applyBorder="0" applyAlignment="0" applyProtection="0"/>
    <xf numFmtId="0" fontId="66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66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6" fillId="7" borderId="0" applyNumberFormat="0" applyBorder="0" applyAlignment="0" applyProtection="0"/>
    <xf numFmtId="0" fontId="37" fillId="56" borderId="0" applyNumberFormat="0" applyBorder="0" applyAlignment="0" applyProtection="0"/>
    <xf numFmtId="0" fontId="66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6" fillId="11" borderId="0" applyNumberFormat="0" applyBorder="0" applyAlignment="0" applyProtection="0"/>
    <xf numFmtId="0" fontId="66" fillId="14" borderId="0" applyNumberFormat="0" applyBorder="0" applyAlignment="0" applyProtection="0"/>
    <xf numFmtId="0" fontId="66" fillId="16" borderId="0" applyNumberFormat="0" applyBorder="0" applyAlignment="0" applyProtection="0"/>
    <xf numFmtId="0" fontId="66" fillId="6" borderId="0" applyNumberFormat="0" applyBorder="0" applyAlignment="0" applyProtection="0"/>
    <xf numFmtId="0" fontId="66" fillId="11" borderId="0" applyNumberFormat="0" applyBorder="0" applyAlignment="0" applyProtection="0"/>
    <xf numFmtId="0" fontId="66" fillId="9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6" fillId="12" borderId="0" applyNumberFormat="0" applyBorder="0" applyAlignment="0" applyProtection="0"/>
    <xf numFmtId="0" fontId="37" fillId="37" borderId="0" applyNumberFormat="0" applyBorder="0" applyAlignment="0" applyProtection="0"/>
    <xf numFmtId="0" fontId="66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6" fillId="14" borderId="0" applyNumberFormat="0" applyBorder="0" applyAlignment="0" applyProtection="0"/>
    <xf numFmtId="0" fontId="37" fillId="41" borderId="0" applyNumberFormat="0" applyBorder="0" applyAlignment="0" applyProtection="0"/>
    <xf numFmtId="0" fontId="66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6" fillId="15" borderId="0" applyNumberFormat="0" applyBorder="0" applyAlignment="0" applyProtection="0"/>
    <xf numFmtId="0" fontId="37" fillId="45" borderId="0" applyNumberFormat="0" applyBorder="0" applyAlignment="0" applyProtection="0"/>
    <xf numFmtId="0" fontId="66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6" fillId="10" borderId="0" applyNumberFormat="0" applyBorder="0" applyAlignment="0" applyProtection="0"/>
    <xf numFmtId="0" fontId="37" fillId="49" borderId="0" applyNumberFormat="0" applyBorder="0" applyAlignment="0" applyProtection="0"/>
    <xf numFmtId="0" fontId="66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6" fillId="12" borderId="0" applyNumberFormat="0" applyBorder="0" applyAlignment="0" applyProtection="0"/>
    <xf numFmtId="0" fontId="37" fillId="53" borderId="0" applyNumberFormat="0" applyBorder="0" applyAlignment="0" applyProtection="0"/>
    <xf numFmtId="0" fontId="66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6" fillId="17" borderId="0" applyNumberFormat="0" applyBorder="0" applyAlignment="0" applyProtection="0"/>
    <xf numFmtId="0" fontId="37" fillId="57" borderId="0" applyNumberFormat="0" applyBorder="0" applyAlignment="0" applyProtection="0"/>
    <xf numFmtId="0" fontId="66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84" fillId="11" borderId="0" applyNumberFormat="0" applyBorder="0" applyAlignment="0" applyProtection="0"/>
    <xf numFmtId="0" fontId="84" fillId="27" borderId="0" applyNumberFormat="0" applyBorder="0" applyAlignment="0" applyProtection="0"/>
    <xf numFmtId="0" fontId="84" fillId="17" borderId="0" applyNumberFormat="0" applyBorder="0" applyAlignment="0" applyProtection="0"/>
    <xf numFmtId="0" fontId="84" fillId="6" borderId="0" applyNumberFormat="0" applyBorder="0" applyAlignment="0" applyProtection="0"/>
    <xf numFmtId="0" fontId="84" fillId="11" borderId="0" applyNumberFormat="0" applyBorder="0" applyAlignment="0" applyProtection="0"/>
    <xf numFmtId="0" fontId="84" fillId="14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123" fillId="0" borderId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122" fillId="58" borderId="0" applyNumberFormat="0" applyBorder="0" applyAlignment="0" applyProtection="0"/>
    <xf numFmtId="0" fontId="122" fillId="58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84" fillId="21" borderId="0" applyNumberFormat="0" applyBorder="0" applyAlignment="0" applyProtection="0"/>
    <xf numFmtId="0" fontId="122" fillId="58" borderId="0" applyNumberFormat="0" applyBorder="0" applyAlignment="0" applyProtection="0"/>
    <xf numFmtId="0" fontId="122" fillId="58" borderId="0" applyNumberFormat="0" applyBorder="0" applyAlignment="0" applyProtection="0"/>
    <xf numFmtId="0" fontId="122" fillId="58" borderId="0" applyNumberFormat="0" applyBorder="0" applyAlignment="0" applyProtection="0"/>
    <xf numFmtId="0" fontId="84" fillId="59" borderId="0" applyNumberFormat="0" applyBorder="0" applyAlignment="0" applyProtection="0"/>
    <xf numFmtId="0" fontId="84" fillId="27" borderId="0" applyNumberFormat="0" applyBorder="0" applyAlignment="0" applyProtection="0"/>
    <xf numFmtId="0" fontId="84" fillId="17" borderId="0" applyNumberFormat="0" applyBorder="0" applyAlignment="0" applyProtection="0"/>
    <xf numFmtId="0" fontId="84" fillId="26" borderId="0" applyNumberFormat="0" applyBorder="0" applyAlignment="0" applyProtection="0"/>
    <xf numFmtId="0" fontId="84" fillId="19" borderId="0" applyNumberFormat="0" applyBorder="0" applyAlignment="0" applyProtection="0"/>
    <xf numFmtId="0" fontId="84" fillId="24" borderId="0" applyNumberFormat="0" applyBorder="0" applyAlignment="0" applyProtection="0"/>
    <xf numFmtId="0" fontId="92" fillId="10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114" fillId="28" borderId="0" applyNumberFormat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24" fillId="22" borderId="4" applyNumberFormat="0" applyAlignment="0" applyProtection="0"/>
    <xf numFmtId="0" fontId="119" fillId="32" borderId="21" applyNumberFormat="0" applyAlignment="0" applyProtection="0"/>
    <xf numFmtId="0" fontId="119" fillId="32" borderId="21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87" fillId="13" borderId="4" applyNumberFormat="0" applyAlignment="0" applyProtection="0"/>
    <xf numFmtId="0" fontId="125" fillId="0" borderId="0"/>
    <xf numFmtId="0" fontId="119" fillId="32" borderId="21" applyNumberFormat="0" applyAlignment="0" applyProtection="0"/>
    <xf numFmtId="0" fontId="119" fillId="32" borderId="21" applyNumberFormat="0" applyAlignment="0" applyProtection="0"/>
    <xf numFmtId="0" fontId="119" fillId="32" borderId="21" applyNumberFormat="0" applyAlignment="0" applyProtection="0"/>
    <xf numFmtId="0" fontId="83" fillId="33" borderId="24" applyNumberFormat="0" applyAlignment="0" applyProtection="0"/>
    <xf numFmtId="0" fontId="83" fillId="33" borderId="2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126" fillId="0" borderId="0"/>
    <xf numFmtId="0" fontId="88" fillId="5" borderId="14" applyNumberFormat="0" applyAlignment="0" applyProtection="0"/>
    <xf numFmtId="0" fontId="88" fillId="5" borderId="14" applyNumberFormat="0" applyAlignment="0" applyProtection="0"/>
    <xf numFmtId="0" fontId="83" fillId="33" borderId="24" applyNumberFormat="0" applyAlignment="0" applyProtection="0"/>
    <xf numFmtId="0" fontId="83" fillId="33" borderId="24" applyNumberFormat="0" applyAlignment="0" applyProtection="0"/>
    <xf numFmtId="0" fontId="83" fillId="33" borderId="24" applyNumberFormat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88" fillId="5" borderId="14" applyNumberFormat="0" applyAlignment="0" applyProtection="0"/>
    <xf numFmtId="3" fontId="7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22" fillId="35" borderId="0" applyNumberFormat="0" applyBorder="0" applyAlignment="0" applyProtection="0"/>
    <xf numFmtId="0" fontId="122" fillId="35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122" fillId="35" borderId="0" applyNumberFormat="0" applyBorder="0" applyAlignment="0" applyProtection="0"/>
    <xf numFmtId="0" fontId="122" fillId="35" borderId="0" applyNumberFormat="0" applyBorder="0" applyAlignment="0" applyProtection="0"/>
    <xf numFmtId="0" fontId="122" fillId="35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84" fillId="27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90" fillId="7" borderId="4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117" fillId="31" borderId="21" applyNumberFormat="0" applyAlignment="0" applyProtection="0"/>
    <xf numFmtId="0" fontId="100" fillId="0" borderId="0" applyNumberFormat="0" applyFill="0" applyBorder="0" applyAlignment="0" applyProtection="0"/>
    <xf numFmtId="0" fontId="74" fillId="0" borderId="0">
      <protection locked="0"/>
    </xf>
    <xf numFmtId="0" fontId="67" fillId="0" borderId="0">
      <protection locked="0"/>
    </xf>
    <xf numFmtId="0" fontId="12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2" fontId="72" fillId="0" borderId="0" applyFont="0" applyFill="0" applyBorder="0" applyAlignment="0" applyProtection="0"/>
    <xf numFmtId="0" fontId="85" fillId="11" borderId="0" applyNumberFormat="0" applyBorder="0" applyAlignment="0" applyProtection="0"/>
    <xf numFmtId="0" fontId="128" fillId="0" borderId="0">
      <alignment horizontal="left"/>
    </xf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3" fillId="0" borderId="29" applyNumberFormat="0" applyFill="0" applyAlignment="0" applyProtection="0"/>
    <xf numFmtId="0" fontId="103" fillId="0" borderId="0" applyNumberFormat="0" applyFill="0" applyBorder="0" applyAlignment="0" applyProtection="0"/>
    <xf numFmtId="0" fontId="129" fillId="0" borderId="0">
      <alignment horizontal="center" textRotation="90"/>
    </xf>
    <xf numFmtId="0" fontId="130" fillId="0" borderId="0" applyNumberFormat="0" applyFill="0" applyBorder="0" applyAlignment="0" applyProtection="0">
      <alignment vertical="top"/>
      <protection locked="0"/>
    </xf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115" fillId="29" borderId="0" applyNumberFormat="0" applyBorder="0" applyAlignment="0" applyProtection="0"/>
    <xf numFmtId="0" fontId="63" fillId="0" borderId="0"/>
    <xf numFmtId="0" fontId="63" fillId="0" borderId="0"/>
    <xf numFmtId="0" fontId="90" fillId="16" borderId="4" applyNumberFormat="0" applyAlignment="0" applyProtection="0"/>
    <xf numFmtId="0" fontId="99" fillId="0" borderId="30" applyNumberFormat="0" applyFill="0" applyAlignment="0" applyProtection="0"/>
    <xf numFmtId="38" fontId="131" fillId="0" borderId="0" applyFont="0" applyFill="0" applyBorder="0" applyAlignment="0" applyProtection="0"/>
    <xf numFmtId="40" fontId="131" fillId="0" borderId="0" applyFont="0" applyFill="0" applyBorder="0" applyAlignment="0" applyProtection="0"/>
    <xf numFmtId="0" fontId="132" fillId="0" borderId="15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73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3" fillId="0" borderId="0" applyFont="0" applyFill="0" applyBorder="0" applyAlignment="0" applyProtection="0"/>
    <xf numFmtId="184" fontId="72" fillId="0" borderId="0" applyFont="0" applyFill="0" applyBorder="0" applyAlignment="0" applyProtection="0"/>
    <xf numFmtId="201" fontId="56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116" fillId="30" borderId="0" applyNumberFormat="0" applyBorder="0" applyAlignment="0" applyProtection="0"/>
    <xf numFmtId="0" fontId="116" fillId="30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94" fillId="16" borderId="0" applyNumberFormat="0" applyBorder="0" applyAlignment="0" applyProtection="0"/>
    <xf numFmtId="0" fontId="116" fillId="30" borderId="0" applyNumberFormat="0" applyBorder="0" applyAlignment="0" applyProtection="0"/>
    <xf numFmtId="0" fontId="116" fillId="30" borderId="0" applyNumberFormat="0" applyBorder="0" applyAlignment="0" applyProtection="0"/>
    <xf numFmtId="0" fontId="116" fillId="30" borderId="0" applyNumberFormat="0" applyBorder="0" applyAlignment="0" applyProtection="0"/>
    <xf numFmtId="0" fontId="134" fillId="16" borderId="0" applyNumberFormat="0" applyBorder="0" applyAlignment="0" applyProtection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56" fillId="0" borderId="0"/>
    <xf numFmtId="0" fontId="56" fillId="0" borderId="0"/>
    <xf numFmtId="0" fontId="37" fillId="0" borderId="0"/>
    <xf numFmtId="0" fontId="66" fillId="0" borderId="0"/>
    <xf numFmtId="0" fontId="66" fillId="0" borderId="0"/>
    <xf numFmtId="0" fontId="73" fillId="0" borderId="0"/>
    <xf numFmtId="0" fontId="7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3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7" fillId="0" borderId="0"/>
    <xf numFmtId="0" fontId="56" fillId="0" borderId="0"/>
    <xf numFmtId="0" fontId="56" fillId="0" borderId="0"/>
    <xf numFmtId="0" fontId="13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6" fillId="0" borderId="0"/>
    <xf numFmtId="0" fontId="5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66" fillId="34" borderId="25" applyNumberFormat="0" applyFont="0" applyAlignment="0" applyProtection="0"/>
    <xf numFmtId="0" fontId="66" fillId="34" borderId="25" applyNumberFormat="0" applyFont="0" applyAlignment="0" applyProtection="0"/>
    <xf numFmtId="0" fontId="66" fillId="34" borderId="25" applyNumberFormat="0" applyFont="0" applyAlignment="0" applyProtection="0"/>
    <xf numFmtId="0" fontId="66" fillId="9" borderId="7" applyNumberFormat="0" applyFont="0" applyAlignment="0" applyProtection="0"/>
    <xf numFmtId="0" fontId="66" fillId="9" borderId="7" applyNumberFormat="0" applyFont="0" applyAlignment="0" applyProtection="0"/>
    <xf numFmtId="0" fontId="66" fillId="9" borderId="7" applyNumberFormat="0" applyFont="0" applyAlignment="0" applyProtection="0"/>
    <xf numFmtId="0" fontId="66" fillId="9" borderId="7" applyNumberFormat="0" applyFont="0" applyAlignment="0" applyProtection="0"/>
    <xf numFmtId="0" fontId="66" fillId="9" borderId="7" applyNumberFormat="0" applyFont="0" applyAlignment="0" applyProtection="0"/>
    <xf numFmtId="0" fontId="37" fillId="34" borderId="25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37" fillId="34" borderId="25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37" fillId="34" borderId="25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56" fillId="9" borderId="7" applyNumberFormat="0" applyFont="0" applyAlignment="0" applyProtection="0"/>
    <xf numFmtId="0" fontId="37" fillId="34" borderId="25" applyNumberFormat="0" applyFont="0" applyAlignment="0" applyProtection="0"/>
    <xf numFmtId="0" fontId="37" fillId="34" borderId="25" applyNumberFormat="0" applyFont="0" applyAlignment="0" applyProtection="0"/>
    <xf numFmtId="0" fontId="66" fillId="9" borderId="7" applyNumberFormat="0" applyFont="0" applyAlignment="0" applyProtection="0"/>
    <xf numFmtId="0" fontId="66" fillId="34" borderId="25" applyNumberFormat="0" applyFont="0" applyAlignment="0" applyProtection="0"/>
    <xf numFmtId="0" fontId="66" fillId="34" borderId="25" applyNumberFormat="0" applyFont="0" applyAlignment="0" applyProtection="0"/>
    <xf numFmtId="0" fontId="95" fillId="9" borderId="7" applyNumberFormat="0" applyFont="0" applyAlignment="0" applyProtection="0"/>
    <xf numFmtId="40" fontId="137" fillId="0" borderId="0" applyFont="0" applyFill="0" applyBorder="0" applyAlignment="0" applyProtection="0"/>
    <xf numFmtId="38" fontId="137" fillId="0" borderId="0" applyFont="0" applyFill="0" applyBorder="0" applyAlignment="0" applyProtection="0"/>
    <xf numFmtId="0" fontId="97" fillId="22" borderId="8" applyNumberFormat="0" applyAlignment="0" applyProtection="0"/>
    <xf numFmtId="188" fontId="138" fillId="0" borderId="0">
      <protection locked="0"/>
    </xf>
    <xf numFmtId="188" fontId="138" fillId="0" borderId="0">
      <protection locked="0"/>
    </xf>
    <xf numFmtId="188" fontId="138" fillId="0" borderId="0">
      <protection locked="0"/>
    </xf>
    <xf numFmtId="188" fontId="138" fillId="0" borderId="0">
      <protection locked="0"/>
    </xf>
    <xf numFmtId="188" fontId="138" fillId="0" borderId="0">
      <protection locked="0"/>
    </xf>
    <xf numFmtId="188" fontId="138" fillId="0" borderId="0">
      <protection locked="0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18" fillId="32" borderId="22" applyNumberFormat="0" applyAlignment="0" applyProtection="0"/>
    <xf numFmtId="0" fontId="118" fillId="32" borderId="22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97" fillId="13" borderId="8" applyNumberFormat="0" applyAlignment="0" applyProtection="0"/>
    <xf numFmtId="0" fontId="118" fillId="32" borderId="22" applyNumberFormat="0" applyAlignment="0" applyProtection="0"/>
    <xf numFmtId="0" fontId="118" fillId="32" borderId="22" applyNumberFormat="0" applyAlignment="0" applyProtection="0"/>
    <xf numFmtId="0" fontId="118" fillId="32" borderId="22" applyNumberFormat="0" applyAlignment="0" applyProtection="0"/>
    <xf numFmtId="188" fontId="75" fillId="0" borderId="0">
      <protection locked="0"/>
    </xf>
    <xf numFmtId="188" fontId="75" fillId="0" borderId="0">
      <protection locked="0"/>
    </xf>
    <xf numFmtId="188" fontId="75" fillId="0" borderId="0">
      <protection locked="0"/>
    </xf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73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0" fontId="132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64" fillId="0" borderId="1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203" fontId="140" fillId="0" borderId="0">
      <alignment horizontal="center" textRotation="90"/>
    </xf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76" fillId="0" borderId="0" applyNumberFormat="0" applyFill="0" applyBorder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49" fontId="142" fillId="0" borderId="2">
      <alignment horizontal="left" vertical="center"/>
    </xf>
    <xf numFmtId="49" fontId="142" fillId="0" borderId="2">
      <alignment horizontal="left" vertical="center"/>
    </xf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72" fillId="0" borderId="13" applyNumberFormat="0" applyFon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72" fillId="0" borderId="13" applyNumberFormat="0" applyFon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82" fillId="0" borderId="26" applyNumberForma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3" fontId="72" fillId="0" borderId="0" applyFont="0" applyFill="0" applyBorder="0" applyAlignment="0" applyProtection="0"/>
    <xf numFmtId="204" fontId="56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36" fillId="0" borderId="0"/>
    <xf numFmtId="0" fontId="144" fillId="0" borderId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173" fontId="56" fillId="0" borderId="0" applyFont="0" applyFill="0" applyBorder="0" applyAlignment="0" applyProtection="0"/>
    <xf numFmtId="0" fontId="87" fillId="13" borderId="43" applyNumberFormat="0" applyAlignment="0" applyProtection="0"/>
    <xf numFmtId="168" fontId="56" fillId="0" borderId="0" applyFont="0" applyFill="0" applyBorder="0" applyAlignment="0" applyProtection="0"/>
    <xf numFmtId="191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49" fontId="56" fillId="0" borderId="0" applyProtection="0"/>
    <xf numFmtId="49" fontId="56" fillId="0" borderId="0" applyProtection="0"/>
    <xf numFmtId="0" fontId="87" fillId="13" borderId="43" applyNumberFormat="0" applyAlignment="0" applyProtection="0"/>
    <xf numFmtId="49" fontId="56" fillId="0" borderId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49" fontId="56" fillId="0" borderId="0" applyProtection="0"/>
    <xf numFmtId="0" fontId="56" fillId="0" borderId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49" fontId="56" fillId="0" borderId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0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7" fillId="13" borderId="43" applyNumberFormat="0" applyAlignment="0" applyProtection="0"/>
    <xf numFmtId="43" fontId="36" fillId="0" borderId="0" applyFont="0" applyFill="0" applyBorder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7" fillId="13" borderId="43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7" fillId="13" borderId="43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7" fillId="13" borderId="43" applyNumberFormat="0" applyAlignment="0" applyProtection="0"/>
    <xf numFmtId="0" fontId="36" fillId="0" borderId="0"/>
    <xf numFmtId="0" fontId="87" fillId="13" borderId="43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22" borderId="32" applyNumberFormat="0" applyAlignment="0" applyProtection="0"/>
    <xf numFmtId="0" fontId="87" fillId="22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0" borderId="0"/>
    <xf numFmtId="0" fontId="73" fillId="9" borderId="33" applyNumberFormat="0" applyFont="0" applyAlignment="0" applyProtection="0"/>
    <xf numFmtId="0" fontId="73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97" fillId="22" borderId="34" applyNumberFormat="0" applyAlignment="0" applyProtection="0"/>
    <xf numFmtId="0" fontId="97" fillId="22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43" fontId="36" fillId="0" borderId="0" applyFont="0" applyFill="0" applyBorder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24" fillId="22" borderId="43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0" fillId="16" borderId="43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24" fillId="22" borderId="32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87" fillId="13" borderId="32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7" borderId="32" applyNumberFormat="0" applyAlignment="0" applyProtection="0"/>
    <xf numFmtId="0" fontId="90" fillId="16" borderId="32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0" borderId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6" fillId="9" borderId="33" applyNumberFormat="0" applyFont="0" applyAlignment="0" applyProtection="0"/>
    <xf numFmtId="0" fontId="66" fillId="9" borderId="33" applyNumberFormat="0" applyFont="0" applyAlignment="0" applyProtection="0"/>
    <xf numFmtId="0" fontId="66" fillId="9" borderId="33" applyNumberFormat="0" applyFont="0" applyAlignment="0" applyProtection="0"/>
    <xf numFmtId="0" fontId="66" fillId="9" borderId="33" applyNumberFormat="0" applyFont="0" applyAlignment="0" applyProtection="0"/>
    <xf numFmtId="0" fontId="66" fillId="9" borderId="33" applyNumberFormat="0" applyFont="0" applyAlignment="0" applyProtection="0"/>
    <xf numFmtId="0" fontId="36" fillId="34" borderId="25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36" fillId="34" borderId="25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36" fillId="34" borderId="25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56" fillId="9" borderId="33" applyNumberFormat="0" applyFont="0" applyAlignment="0" applyProtection="0"/>
    <xf numFmtId="0" fontId="36" fillId="34" borderId="25" applyNumberFormat="0" applyFont="0" applyAlignment="0" applyProtection="0"/>
    <xf numFmtId="0" fontId="36" fillId="34" borderId="25" applyNumberFormat="0" applyFont="0" applyAlignment="0" applyProtection="0"/>
    <xf numFmtId="0" fontId="66" fillId="9" borderId="33" applyNumberFormat="0" applyFont="0" applyAlignment="0" applyProtection="0"/>
    <xf numFmtId="0" fontId="95" fillId="9" borderId="33" applyNumberFormat="0" applyFont="0" applyAlignment="0" applyProtection="0"/>
    <xf numFmtId="0" fontId="97" fillId="22" borderId="34" applyNumberFormat="0" applyAlignment="0" applyProtection="0"/>
    <xf numFmtId="9" fontId="36" fillId="0" borderId="0" applyFont="0" applyFill="0" applyBorder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34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22" borderId="45" applyNumberFormat="0" applyAlignment="0" applyProtection="0"/>
    <xf numFmtId="0" fontId="97" fillId="22" borderId="45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73" fillId="9" borderId="44" applyNumberFormat="0" applyFont="0" applyAlignment="0" applyProtection="0"/>
    <xf numFmtId="0" fontId="73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22" borderId="43" applyNumberFormat="0" applyAlignment="0" applyProtection="0"/>
    <xf numFmtId="0" fontId="87" fillId="22" borderId="43" applyNumberFormat="0" applyAlignment="0" applyProtection="0"/>
    <xf numFmtId="171" fontId="56" fillId="0" borderId="0" applyFill="0" applyBorder="0" applyAlignment="0" applyProtection="0"/>
    <xf numFmtId="0" fontId="144" fillId="0" borderId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5" borderId="14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143" fillId="0" borderId="39" applyNumberForma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124" fillId="22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143" fillId="0" borderId="39" applyNumberFormat="0" applyFill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88" fillId="5" borderId="14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143" fillId="0" borderId="39" applyNumberFormat="0" applyFill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7" fillId="22" borderId="35" applyNumberFormat="0" applyAlignment="0" applyProtection="0"/>
    <xf numFmtId="0" fontId="87" fillId="22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56" fillId="9" borderId="41" applyNumberFormat="0" applyFont="0" applyAlignment="0" applyProtection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3" fillId="9" borderId="36" applyNumberFormat="0" applyFont="0" applyAlignment="0" applyProtection="0"/>
    <xf numFmtId="0" fontId="73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13" borderId="14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7" fillId="22" borderId="37" applyNumberFormat="0" applyAlignment="0" applyProtection="0"/>
    <xf numFmtId="0" fontId="97" fillId="22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143" fillId="0" borderId="39" applyNumberFormat="0" applyFill="0" applyAlignment="0" applyProtection="0"/>
    <xf numFmtId="0" fontId="97" fillId="13" borderId="42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56" fillId="9" borderId="41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56" fillId="0" borderId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88" fillId="5" borderId="14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66" fillId="9" borderId="41" applyNumberFormat="0" applyFon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56" fillId="9" borderId="41" applyNumberFormat="0" applyFont="0" applyAlignment="0" applyProtection="0"/>
    <xf numFmtId="0" fontId="87" fillId="13" borderId="40" applyNumberForma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124" fillId="22" borderId="35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87" fillId="13" borderId="35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90" fillId="7" borderId="35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66" fillId="9" borderId="41" applyNumberFormat="0" applyFont="0" applyAlignment="0" applyProtection="0"/>
    <xf numFmtId="0" fontId="95" fillId="9" borderId="41" applyNumberFormat="0" applyFont="0" applyAlignment="0" applyProtection="0"/>
    <xf numFmtId="0" fontId="87" fillId="13" borderId="40" applyNumberFormat="0" applyAlignment="0" applyProtection="0"/>
    <xf numFmtId="0" fontId="90" fillId="16" borderId="35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56" fillId="9" borderId="41" applyNumberFormat="0" applyFont="0" applyAlignment="0" applyProtection="0"/>
    <xf numFmtId="0" fontId="73" fillId="9" borderId="41" applyNumberFormat="0" applyFont="0" applyAlignment="0" applyProtection="0"/>
    <xf numFmtId="0" fontId="73" fillId="9" borderId="41" applyNumberFormat="0" applyFon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8" fillId="5" borderId="14" applyNumberFormat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22" borderId="40" applyNumberFormat="0" applyAlignment="0" applyProtection="0"/>
    <xf numFmtId="0" fontId="87" fillId="22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56" fillId="9" borderId="41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87" fillId="13" borderId="40" applyNumberForma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87" fillId="13" borderId="40" applyNumberForma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56" fillId="9" borderId="36" applyNumberFormat="0" applyFont="0" applyAlignment="0" applyProtection="0"/>
    <xf numFmtId="0" fontId="90" fillId="7" borderId="40" applyNumberFormat="0" applyAlignment="0" applyProtection="0"/>
    <xf numFmtId="0" fontId="66" fillId="9" borderId="36" applyNumberFormat="0" applyFont="0" applyAlignment="0" applyProtection="0"/>
    <xf numFmtId="0" fontId="87" fillId="13" borderId="40" applyNumberFormat="0" applyAlignment="0" applyProtection="0"/>
    <xf numFmtId="0" fontId="95" fillId="9" borderId="36" applyNumberFormat="0" applyFont="0" applyAlignment="0" applyProtection="0"/>
    <xf numFmtId="0" fontId="56" fillId="9" borderId="41" applyNumberFormat="0" applyFont="0" applyAlignment="0" applyProtection="0"/>
    <xf numFmtId="0" fontId="97" fillId="22" borderId="37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5" borderId="14" applyNumberFormat="0" applyAlignment="0" applyProtection="0"/>
    <xf numFmtId="0" fontId="88" fillId="13" borderId="14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97" fillId="22" borderId="42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124" fillId="22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7" fillId="13" borderId="37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6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56" fillId="0" borderId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72" fillId="0" borderId="13" applyNumberFormat="0" applyFont="0" applyFill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72" fillId="0" borderId="13" applyNumberFormat="0" applyFont="0" applyFill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16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8" fillId="5" borderId="14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124" fillId="22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16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56" fillId="9" borderId="41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5" borderId="14" applyNumberFormat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7" fillId="22" borderId="42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56" fillId="9" borderId="41" applyNumberFormat="0" applyFont="0" applyAlignment="0" applyProtection="0"/>
    <xf numFmtId="0" fontId="73" fillId="9" borderId="41" applyNumberFormat="0" applyFont="0" applyAlignment="0" applyProtection="0"/>
    <xf numFmtId="0" fontId="73" fillId="9" borderId="41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8" fillId="5" borderId="14" applyNumberFormat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22" borderId="40" applyNumberFormat="0" applyAlignment="0" applyProtection="0"/>
    <xf numFmtId="0" fontId="87" fillId="22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90" fillId="16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56" fillId="9" borderId="41" applyNumberFormat="0" applyFont="0" applyAlignment="0" applyProtection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56" fillId="0" borderId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0" fillId="7" borderId="40" applyNumberFormat="0" applyAlignment="0" applyProtection="0"/>
    <xf numFmtId="0" fontId="56" fillId="0" borderId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66" fillId="9" borderId="41" applyNumberFormat="0" applyFont="0" applyAlignment="0" applyProtection="0"/>
    <xf numFmtId="0" fontId="95" fillId="9" borderId="41" applyNumberFormat="0" applyFont="0" applyAlignment="0" applyProtection="0"/>
    <xf numFmtId="0" fontId="97" fillId="22" borderId="42" applyNumberFormat="0" applyAlignment="0" applyProtection="0"/>
    <xf numFmtId="0" fontId="88" fillId="5" borderId="14" applyNumberFormat="0" applyAlignment="0" applyProtection="0"/>
    <xf numFmtId="0" fontId="88" fillId="13" borderId="14" applyNumberFormat="0" applyAlignment="0" applyProtection="0"/>
    <xf numFmtId="0" fontId="88" fillId="13" borderId="14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73" fillId="9" borderId="41" applyNumberFormat="0" applyFont="0" applyAlignment="0" applyProtection="0"/>
    <xf numFmtId="0" fontId="73" fillId="9" borderId="41" applyNumberFormat="0" applyFon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90" fillId="7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13" borderId="40" applyNumberFormat="0" applyAlignment="0" applyProtection="0"/>
    <xf numFmtId="0" fontId="87" fillId="22" borderId="40" applyNumberFormat="0" applyAlignment="0" applyProtection="0"/>
    <xf numFmtId="0" fontId="87" fillId="22" borderId="40" applyNumberFormat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6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56" fillId="9" borderId="41" applyNumberFormat="0" applyFont="0" applyAlignment="0" applyProtection="0"/>
    <xf numFmtId="0" fontId="66" fillId="9" borderId="41" applyNumberFormat="0" applyFont="0" applyAlignment="0" applyProtection="0"/>
    <xf numFmtId="0" fontId="95" fillId="9" borderId="41" applyNumberFormat="0" applyFont="0" applyAlignment="0" applyProtection="0"/>
    <xf numFmtId="0" fontId="97" fillId="22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97" fillId="13" borderId="42" applyNumberFormat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72" fillId="0" borderId="13" applyNumberFormat="0" applyFont="0" applyFill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66" fillId="9" borderId="44" applyNumberFormat="0" applyFont="0" applyAlignment="0" applyProtection="0"/>
    <xf numFmtId="0" fontId="95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24" fillId="22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143" fillId="0" borderId="46" applyNumberFormat="0" applyFill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87" fillId="22" borderId="43" applyNumberFormat="0" applyAlignment="0" applyProtection="0"/>
    <xf numFmtId="0" fontId="87" fillId="22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73" fillId="9" borderId="44" applyNumberFormat="0" applyFont="0" applyAlignment="0" applyProtection="0"/>
    <xf numFmtId="0" fontId="73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7" fillId="22" borderId="45" applyNumberForma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143" fillId="0" borderId="46" applyNumberFormat="0" applyFill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124" fillId="22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66" fillId="9" borderId="44" applyNumberFormat="0" applyFont="0" applyAlignment="0" applyProtection="0"/>
    <xf numFmtId="0" fontId="95" fillId="9" borderId="44" applyNumberFormat="0" applyFont="0" applyAlignment="0" applyProtection="0"/>
    <xf numFmtId="0" fontId="87" fillId="13" borderId="43" applyNumberFormat="0" applyAlignment="0" applyProtection="0"/>
    <xf numFmtId="0" fontId="90" fillId="16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56" fillId="9" borderId="44" applyNumberFormat="0" applyFont="0" applyAlignment="0" applyProtection="0"/>
    <xf numFmtId="0" fontId="73" fillId="9" borderId="44" applyNumberFormat="0" applyFont="0" applyAlignment="0" applyProtection="0"/>
    <xf numFmtId="0" fontId="73" fillId="9" borderId="44" applyNumberFormat="0" applyFon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22" borderId="43" applyNumberFormat="0" applyAlignment="0" applyProtection="0"/>
    <xf numFmtId="0" fontId="87" fillId="22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66" fillId="9" borderId="44" applyNumberFormat="0" applyFont="0" applyAlignment="0" applyProtection="0"/>
    <xf numFmtId="0" fontId="87" fillId="13" borderId="43" applyNumberFormat="0" applyAlignment="0" applyProtection="0"/>
    <xf numFmtId="0" fontId="95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22" borderId="45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7" fillId="22" borderId="45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24" fillId="22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16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124" fillId="22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16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56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7" fillId="22" borderId="45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56" fillId="9" borderId="44" applyNumberFormat="0" applyFont="0" applyAlignment="0" applyProtection="0"/>
    <xf numFmtId="0" fontId="73" fillId="9" borderId="44" applyNumberFormat="0" applyFont="0" applyAlignment="0" applyProtection="0"/>
    <xf numFmtId="0" fontId="73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22" borderId="43" applyNumberFormat="0" applyAlignment="0" applyProtection="0"/>
    <xf numFmtId="0" fontId="87" fillId="22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16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56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90" fillId="7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66" fillId="9" borderId="44" applyNumberFormat="0" applyFont="0" applyAlignment="0" applyProtection="0"/>
    <xf numFmtId="0" fontId="95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73" fillId="9" borderId="44" applyNumberFormat="0" applyFont="0" applyAlignment="0" applyProtection="0"/>
    <xf numFmtId="0" fontId="73" fillId="9" borderId="44" applyNumberFormat="0" applyFon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90" fillId="7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13" borderId="43" applyNumberFormat="0" applyAlignment="0" applyProtection="0"/>
    <xf numFmtId="0" fontId="87" fillId="22" borderId="43" applyNumberFormat="0" applyAlignment="0" applyProtection="0"/>
    <xf numFmtId="0" fontId="87" fillId="22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56" fillId="9" borderId="44" applyNumberFormat="0" applyFont="0" applyAlignment="0" applyProtection="0"/>
    <xf numFmtId="0" fontId="66" fillId="9" borderId="44" applyNumberFormat="0" applyFont="0" applyAlignment="0" applyProtection="0"/>
    <xf numFmtId="0" fontId="95" fillId="9" borderId="44" applyNumberFormat="0" applyFont="0" applyAlignment="0" applyProtection="0"/>
    <xf numFmtId="0" fontId="97" fillId="22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97" fillId="13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1" fillId="0" borderId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3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3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0" fillId="7" borderId="54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32" fillId="0" borderId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90" fillId="7" borderId="54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0" fillId="7" borderId="54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0" fillId="7" borderId="54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6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8" fillId="5" borderId="48" applyNumberForma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87" fillId="13" borderId="54" applyNumberFormat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43" fontId="7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8" fillId="5" borderId="48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90" fillId="7" borderId="54" applyNumberFormat="0" applyAlignment="0" applyProtection="0"/>
    <xf numFmtId="43" fontId="56" fillId="0" borderId="0" applyFont="0" applyFill="0" applyBorder="0" applyAlignment="0" applyProtection="0"/>
    <xf numFmtId="0" fontId="90" fillId="7" borderId="54" applyNumberFormat="0" applyAlignment="0" applyProtection="0"/>
    <xf numFmtId="0" fontId="32" fillId="0" borderId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7" fillId="13" borderId="57" applyNumberFormat="0" applyAlignment="0" applyProtection="0"/>
    <xf numFmtId="0" fontId="32" fillId="36" borderId="0" applyNumberFormat="0" applyBorder="0" applyAlignment="0" applyProtection="0"/>
    <xf numFmtId="0" fontId="97" fillId="13" borderId="57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7" fillId="13" borderId="57" applyNumberFormat="0" applyAlignment="0" applyProtection="0"/>
    <xf numFmtId="0" fontId="32" fillId="40" borderId="0" applyNumberFormat="0" applyBorder="0" applyAlignment="0" applyProtection="0"/>
    <xf numFmtId="0" fontId="97" fillId="13" borderId="57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97" fillId="13" borderId="57" applyNumberFormat="0" applyAlignment="0" applyProtection="0"/>
    <xf numFmtId="0" fontId="32" fillId="44" borderId="0" applyNumberFormat="0" applyBorder="0" applyAlignment="0" applyProtection="0"/>
    <xf numFmtId="0" fontId="97" fillId="13" borderId="57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97" fillId="13" borderId="57" applyNumberFormat="0" applyAlignment="0" applyProtection="0"/>
    <xf numFmtId="0" fontId="32" fillId="48" borderId="0" applyNumberFormat="0" applyBorder="0" applyAlignment="0" applyProtection="0"/>
    <xf numFmtId="0" fontId="97" fillId="13" borderId="57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97" fillId="13" borderId="57" applyNumberFormat="0" applyAlignment="0" applyProtection="0"/>
    <xf numFmtId="0" fontId="32" fillId="52" borderId="0" applyNumberFormat="0" applyBorder="0" applyAlignment="0" applyProtection="0"/>
    <xf numFmtId="0" fontId="97" fillId="13" borderId="57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7" fillId="13" borderId="57" applyNumberFormat="0" applyAlignment="0" applyProtection="0"/>
    <xf numFmtId="0" fontId="32" fillId="56" borderId="0" applyNumberFormat="0" applyBorder="0" applyAlignment="0" applyProtection="0"/>
    <xf numFmtId="0" fontId="97" fillId="13" borderId="57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7" fillId="13" borderId="57" applyNumberFormat="0" applyAlignment="0" applyProtection="0"/>
    <xf numFmtId="0" fontId="32" fillId="37" borderId="0" applyNumberFormat="0" applyBorder="0" applyAlignment="0" applyProtection="0"/>
    <xf numFmtId="0" fontId="97" fillId="13" borderId="57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7" fillId="22" borderId="57" applyNumberFormat="0" applyAlignment="0" applyProtection="0"/>
    <xf numFmtId="0" fontId="95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6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88" fillId="5" borderId="48" applyNumberForma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66" fillId="9" borderId="56" applyNumberFormat="0" applyFont="0" applyAlignment="0" applyProtection="0"/>
    <xf numFmtId="0" fontId="66" fillId="9" borderId="56" applyNumberFormat="0" applyFont="0" applyAlignment="0" applyProtection="0"/>
    <xf numFmtId="0" fontId="66" fillId="9" borderId="56" applyNumberFormat="0" applyFont="0" applyAlignment="0" applyProtection="0"/>
    <xf numFmtId="0" fontId="66" fillId="9" borderId="56" applyNumberFormat="0" applyFont="0" applyAlignment="0" applyProtection="0"/>
    <xf numFmtId="0" fontId="66" fillId="9" borderId="56" applyNumberFormat="0" applyFont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33" fillId="0" borderId="0" applyFont="0" applyFill="0" applyBorder="0" applyAlignment="0" applyProtection="0"/>
    <xf numFmtId="0" fontId="32" fillId="0" borderId="0"/>
    <xf numFmtId="0" fontId="90" fillId="16" borderId="54" applyNumberFormat="0" applyAlignment="0" applyProtection="0"/>
    <xf numFmtId="0" fontId="32" fillId="0" borderId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0" fillId="7" borderId="54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32" fillId="34" borderId="25" applyNumberFormat="0" applyFon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32" fillId="34" borderId="25" applyNumberFormat="0" applyFon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124" fillId="22" borderId="54" applyNumberFormat="0" applyAlignment="0" applyProtection="0"/>
    <xf numFmtId="0" fontId="32" fillId="34" borderId="25" applyNumberFormat="0" applyFont="0" applyAlignment="0" applyProtection="0"/>
    <xf numFmtId="0" fontId="32" fillId="34" borderId="25" applyNumberFormat="0" applyFont="0" applyAlignment="0" applyProtection="0"/>
    <xf numFmtId="0" fontId="32" fillId="34" borderId="25" applyNumberFormat="0" applyFont="0" applyAlignment="0" applyProtection="0"/>
    <xf numFmtId="9" fontId="32" fillId="0" borderId="0" applyFont="0" applyFill="0" applyBorder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22" borderId="57" applyNumberFormat="0" applyAlignment="0" applyProtection="0"/>
    <xf numFmtId="0" fontId="97" fillId="22" borderId="57" applyNumberForma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56" fillId="9" borderId="56" applyNumberFormat="0" applyFont="0" applyAlignment="0" applyProtection="0"/>
    <xf numFmtId="0" fontId="73" fillId="9" borderId="56" applyNumberFormat="0" applyFont="0" applyAlignment="0" applyProtection="0"/>
    <xf numFmtId="0" fontId="73" fillId="9" borderId="56" applyNumberFormat="0" applyFon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13" borderId="54" applyNumberFormat="0" applyAlignment="0" applyProtection="0"/>
    <xf numFmtId="0" fontId="87" fillId="22" borderId="54" applyNumberFormat="0" applyAlignment="0" applyProtection="0"/>
    <xf numFmtId="0" fontId="87" fillId="22" borderId="54" applyNumberFormat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56" fillId="0" borderId="0" applyFill="0" applyBorder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32" fillId="0" borderId="0"/>
    <xf numFmtId="0" fontId="56" fillId="0" borderId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167" fontId="56" fillId="0" borderId="0" applyFont="0" applyFill="0" applyBorder="0" applyAlignment="0" applyProtection="0"/>
    <xf numFmtId="0" fontId="87" fillId="13" borderId="51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4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0" fontId="90" fillId="7" borderId="54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7" fillId="13" borderId="51" applyNumberFormat="0" applyAlignment="0" applyProtection="0"/>
    <xf numFmtId="43" fontId="32" fillId="0" borderId="0" applyFont="0" applyFill="0" applyBorder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7" fillId="13" borderId="51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7" fillId="13" borderId="51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7" fillId="13" borderId="51" applyNumberFormat="0" applyAlignment="0" applyProtection="0"/>
    <xf numFmtId="0" fontId="32" fillId="0" borderId="0"/>
    <xf numFmtId="0" fontId="87" fillId="13" borderId="51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0" borderId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43" fontId="32" fillId="0" borderId="0" applyFont="0" applyFill="0" applyBorder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90" fillId="16" borderId="51" applyNumberFormat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16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0" borderId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32" fillId="34" borderId="25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32" fillId="34" borderId="25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32" fillId="34" borderId="25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32" fillId="34" borderId="25" applyNumberFormat="0" applyFont="0" applyAlignment="0" applyProtection="0"/>
    <xf numFmtId="0" fontId="32" fillId="34" borderId="25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9" fontId="32" fillId="0" borderId="0" applyFont="0" applyFill="0" applyBorder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22" borderId="53" applyNumberFormat="0" applyAlignment="0" applyProtection="0"/>
    <xf numFmtId="0" fontId="97" fillId="22" borderId="53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5" borderId="48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88" fillId="5" borderId="48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13" borderId="48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22" borderId="53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0" fillId="7" borderId="54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8" fillId="5" borderId="48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124" fillId="22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8" fillId="5" borderId="48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66" fillId="9" borderId="52" applyNumberFormat="0" applyFont="0" applyAlignment="0" applyProtection="0"/>
    <xf numFmtId="0" fontId="87" fillId="13" borderId="51" applyNumberFormat="0" applyAlignment="0" applyProtection="0"/>
    <xf numFmtId="0" fontId="95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5" borderId="48" applyNumberFormat="0" applyAlignment="0" applyProtection="0"/>
    <xf numFmtId="0" fontId="88" fillId="13" borderId="48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97" fillId="22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4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2" fillId="0" borderId="49" applyNumberFormat="0" applyFont="0" applyFill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2" fillId="0" borderId="49" applyNumberFormat="0" applyFont="0" applyFill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8" fillId="5" borderId="48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24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5" borderId="48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7" fillId="22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8" fillId="5" borderId="48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4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0" fillId="7" borderId="51" applyNumberFormat="0" applyAlignment="0" applyProtection="0"/>
    <xf numFmtId="0" fontId="90" fillId="7" borderId="54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0" fontId="88" fillId="5" borderId="48" applyNumberFormat="0" applyAlignment="0" applyProtection="0"/>
    <xf numFmtId="0" fontId="88" fillId="13" borderId="48" applyNumberFormat="0" applyAlignment="0" applyProtection="0"/>
    <xf numFmtId="0" fontId="88" fillId="13" borderId="48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72" fillId="0" borderId="49" applyNumberFormat="0" applyFont="0" applyFill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22" borderId="53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43" fillId="0" borderId="50" applyNumberFormat="0" applyFill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124" fillId="22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66" fillId="9" borderId="52" applyNumberFormat="0" applyFont="0" applyAlignment="0" applyProtection="0"/>
    <xf numFmtId="0" fontId="87" fillId="13" borderId="51" applyNumberFormat="0" applyAlignment="0" applyProtection="0"/>
    <xf numFmtId="0" fontId="95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22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24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124" fillId="22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56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22" borderId="53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16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56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90" fillId="7" borderId="51" applyNumberForma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73" fillId="9" borderId="52" applyNumberFormat="0" applyFont="0" applyAlignment="0" applyProtection="0"/>
    <xf numFmtId="0" fontId="73" fillId="9" borderId="52" applyNumberFormat="0" applyFon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90" fillId="7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13" borderId="51" applyNumberFormat="0" applyAlignment="0" applyProtection="0"/>
    <xf numFmtId="0" fontId="87" fillId="22" borderId="51" applyNumberFormat="0" applyAlignment="0" applyProtection="0"/>
    <xf numFmtId="0" fontId="87" fillId="22" borderId="51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6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56" fillId="9" borderId="52" applyNumberFormat="0" applyFont="0" applyAlignment="0" applyProtection="0"/>
    <xf numFmtId="0" fontId="66" fillId="9" borderId="52" applyNumberFormat="0" applyFont="0" applyAlignment="0" applyProtection="0"/>
    <xf numFmtId="0" fontId="95" fillId="9" borderId="52" applyNumberFormat="0" applyFont="0" applyAlignment="0" applyProtection="0"/>
    <xf numFmtId="0" fontId="97" fillId="22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97" fillId="13" borderId="53" applyNumberFormat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143" fillId="0" borderId="50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6" fillId="7" borderId="0" applyNumberFormat="0" applyBorder="0" applyAlignment="0" applyProtection="0"/>
    <xf numFmtId="178" fontId="56" fillId="0" borderId="0"/>
    <xf numFmtId="185" fontId="56" fillId="0" borderId="0"/>
    <xf numFmtId="178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97" fillId="13" borderId="57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143" fillId="0" borderId="59" applyNumberForma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16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22" borderId="62" applyNumberFormat="0" applyAlignment="0" applyProtection="0"/>
    <xf numFmtId="0" fontId="97" fillId="22" borderId="62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5" borderId="55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88" fillId="5" borderId="55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13" borderId="55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22" borderId="62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88" fillId="5" borderId="55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124" fillId="22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87" fillId="13" borderId="60" applyNumberFormat="0" applyAlignment="0" applyProtection="0"/>
    <xf numFmtId="0" fontId="95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97" fillId="22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2" fillId="0" borderId="58" applyNumberFormat="0" applyFont="0" applyFill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2" fillId="0" borderId="58" applyNumberFormat="0" applyFont="0" applyFill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8" fillId="5" borderId="55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24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7" fillId="22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88" fillId="5" borderId="55" applyNumberFormat="0" applyAlignment="0" applyProtection="0"/>
    <xf numFmtId="0" fontId="88" fillId="13" borderId="55" applyNumberFormat="0" applyAlignment="0" applyProtection="0"/>
    <xf numFmtId="0" fontId="88" fillId="13" borderId="55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72" fillId="0" borderId="58" applyNumberFormat="0" applyFont="0" applyFill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22" borderId="62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43" fillId="0" borderId="63" applyNumberFormat="0" applyFill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124" fillId="22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87" fillId="13" borderId="60" applyNumberFormat="0" applyAlignment="0" applyProtection="0"/>
    <xf numFmtId="0" fontId="95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22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24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124" fillId="22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56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22" borderId="62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16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56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90" fillId="7" borderId="60" applyNumberForma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73" fillId="9" borderId="61" applyNumberFormat="0" applyFont="0" applyAlignment="0" applyProtection="0"/>
    <xf numFmtId="0" fontId="73" fillId="9" borderId="61" applyNumberFormat="0" applyFon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90" fillId="7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13" borderId="60" applyNumberFormat="0" applyAlignment="0" applyProtection="0"/>
    <xf numFmtId="0" fontId="87" fillId="22" borderId="60" applyNumberFormat="0" applyAlignment="0" applyProtection="0"/>
    <xf numFmtId="0" fontId="87" fillId="22" borderId="60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6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56" fillId="9" borderId="61" applyNumberFormat="0" applyFont="0" applyAlignment="0" applyProtection="0"/>
    <xf numFmtId="0" fontId="66" fillId="9" borderId="61" applyNumberFormat="0" applyFont="0" applyAlignment="0" applyProtection="0"/>
    <xf numFmtId="0" fontId="95" fillId="9" borderId="61" applyNumberFormat="0" applyFont="0" applyAlignment="0" applyProtection="0"/>
    <xf numFmtId="0" fontId="97" fillId="22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97" fillId="13" borderId="62" applyNumberFormat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143" fillId="0" borderId="63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8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21" fillId="0" borderId="0"/>
    <xf numFmtId="0" fontId="21" fillId="0" borderId="0"/>
    <xf numFmtId="0" fontId="147" fillId="0" borderId="0" applyNumberFormat="0" applyFill="0" applyBorder="0" applyAlignment="0" applyProtection="0"/>
    <xf numFmtId="0" fontId="111" fillId="0" borderId="18" applyNumberFormat="0" applyFill="0" applyAlignment="0" applyProtection="0"/>
    <xf numFmtId="0" fontId="112" fillId="0" borderId="19" applyNumberFormat="0" applyFill="0" applyAlignment="0" applyProtection="0"/>
    <xf numFmtId="0" fontId="113" fillId="0" borderId="20" applyNumberFormat="0" applyFill="0" applyAlignment="0" applyProtection="0"/>
    <xf numFmtId="0" fontId="113" fillId="0" borderId="0" applyNumberFormat="0" applyFill="0" applyBorder="0" applyAlignment="0" applyProtection="0"/>
    <xf numFmtId="0" fontId="114" fillId="28" borderId="0" applyNumberFormat="0" applyBorder="0" applyAlignment="0" applyProtection="0"/>
    <xf numFmtId="0" fontId="115" fillId="29" borderId="0" applyNumberFormat="0" applyBorder="0" applyAlignment="0" applyProtection="0"/>
    <xf numFmtId="0" fontId="116" fillId="30" borderId="0" applyNumberFormat="0" applyBorder="0" applyAlignment="0" applyProtection="0"/>
    <xf numFmtId="0" fontId="117" fillId="31" borderId="21" applyNumberFormat="0" applyAlignment="0" applyProtection="0"/>
    <xf numFmtId="0" fontId="118" fillId="32" borderId="22" applyNumberFormat="0" applyAlignment="0" applyProtection="0"/>
    <xf numFmtId="0" fontId="119" fillId="32" borderId="21" applyNumberFormat="0" applyAlignment="0" applyProtection="0"/>
    <xf numFmtId="0" fontId="120" fillId="0" borderId="23" applyNumberFormat="0" applyFill="0" applyAlignment="0" applyProtection="0"/>
    <xf numFmtId="0" fontId="83" fillId="33" borderId="24" applyNumberFormat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82" fillId="0" borderId="26" applyNumberFormat="0" applyFill="0" applyAlignment="0" applyProtection="0"/>
    <xf numFmtId="0" fontId="122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122" fillId="38" borderId="0" applyNumberFormat="0" applyBorder="0" applyAlignment="0" applyProtection="0"/>
    <xf numFmtId="0" fontId="122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122" fillId="42" borderId="0" applyNumberFormat="0" applyBorder="0" applyAlignment="0" applyProtection="0"/>
    <xf numFmtId="0" fontId="122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122" fillId="46" borderId="0" applyNumberFormat="0" applyBorder="0" applyAlignment="0" applyProtection="0"/>
    <xf numFmtId="0" fontId="122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122" fillId="50" borderId="0" applyNumberFormat="0" applyBorder="0" applyAlignment="0" applyProtection="0"/>
    <xf numFmtId="0" fontId="122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3" borderId="0" applyNumberFormat="0" applyBorder="0" applyAlignment="0" applyProtection="0"/>
    <xf numFmtId="0" fontId="122" fillId="54" borderId="0" applyNumberFormat="0" applyBorder="0" applyAlignment="0" applyProtection="0"/>
    <xf numFmtId="0" fontId="122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122" fillId="58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4" borderId="25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4" borderId="25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4" borderId="25" applyNumberFormat="0" applyFont="0" applyAlignment="0" applyProtection="0"/>
    <xf numFmtId="0" fontId="18" fillId="0" borderId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6" borderId="0" applyNumberFormat="0" applyBorder="0" applyAlignment="0" applyProtection="0"/>
    <xf numFmtId="0" fontId="18" fillId="57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4" borderId="25" applyNumberFormat="0" applyFont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52" borderId="0" applyNumberFormat="0" applyBorder="0" applyAlignment="0" applyProtection="0"/>
    <xf numFmtId="0" fontId="17" fillId="53" borderId="0" applyNumberFormat="0" applyBorder="0" applyAlignment="0" applyProtection="0"/>
    <xf numFmtId="0" fontId="17" fillId="56" borderId="0" applyNumberFormat="0" applyBorder="0" applyAlignment="0" applyProtection="0"/>
    <xf numFmtId="0" fontId="17" fillId="57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4" borderId="25" applyNumberFormat="0" applyFont="0" applyAlignment="0" applyProtection="0"/>
    <xf numFmtId="0" fontId="15" fillId="0" borderId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0" borderId="0"/>
    <xf numFmtId="0" fontId="15" fillId="56" borderId="0" applyNumberFormat="0" applyBorder="0" applyAlignment="0" applyProtection="0"/>
    <xf numFmtId="0" fontId="15" fillId="57" borderId="0" applyNumberFormat="0" applyBorder="0" applyAlignment="0" applyProtection="0"/>
    <xf numFmtId="0" fontId="14" fillId="0" borderId="0"/>
    <xf numFmtId="0" fontId="13" fillId="0" borderId="0"/>
    <xf numFmtId="0" fontId="8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3" fillId="0" borderId="0"/>
    <xf numFmtId="43" fontId="7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1" fillId="0" borderId="0" applyFont="0" applyFill="0" applyBorder="0" applyAlignment="0" applyProtection="0"/>
    <xf numFmtId="0" fontId="7" fillId="0" borderId="0"/>
    <xf numFmtId="0" fontId="81" fillId="0" borderId="0"/>
    <xf numFmtId="0" fontId="81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5" fillId="0" borderId="0"/>
    <xf numFmtId="43" fontId="8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6" fillId="0" borderId="0" applyFont="0" applyFill="0" applyBorder="0" applyAlignment="0" applyProtection="0"/>
    <xf numFmtId="0" fontId="2" fillId="0" borderId="0"/>
    <xf numFmtId="0" fontId="2" fillId="0" borderId="0"/>
    <xf numFmtId="0" fontId="123" fillId="0" borderId="0"/>
    <xf numFmtId="0" fontId="1" fillId="0" borderId="0"/>
    <xf numFmtId="0" fontId="56" fillId="0" borderId="0"/>
  </cellStyleXfs>
  <cellXfs count="550">
    <xf numFmtId="0" fontId="0" fillId="0" borderId="0" xfId="0"/>
    <xf numFmtId="0" fontId="56" fillId="2" borderId="0" xfId="0" applyFont="1" applyFill="1" applyAlignment="1">
      <alignment vertical="center" wrapText="1"/>
    </xf>
    <xf numFmtId="0" fontId="148" fillId="2" borderId="0" xfId="52203" applyFont="1" applyFill="1" applyAlignment="1">
      <alignment horizontal="left" vertical="top"/>
    </xf>
    <xf numFmtId="0" fontId="56" fillId="2" borderId="0" xfId="52203" applyFill="1" applyAlignment="1">
      <alignment horizontal="left" vertical="top"/>
    </xf>
    <xf numFmtId="0" fontId="56" fillId="0" borderId="0" xfId="52203" applyAlignment="1">
      <alignment horizontal="left" vertical="top"/>
    </xf>
    <xf numFmtId="0" fontId="59" fillId="3" borderId="71" xfId="52203" applyFont="1" applyFill="1" applyBorder="1" applyAlignment="1">
      <alignment horizontal="center" vertical="center"/>
    </xf>
    <xf numFmtId="0" fontId="149" fillId="0" borderId="71" xfId="52203" applyFont="1" applyBorder="1" applyAlignment="1">
      <alignment horizontal="center" vertical="center" wrapText="1"/>
    </xf>
    <xf numFmtId="174" fontId="56" fillId="0" borderId="71" xfId="52203" applyNumberFormat="1" applyBorder="1" applyAlignment="1">
      <alignment horizontal="center" vertical="center" wrapText="1"/>
    </xf>
    <xf numFmtId="205" fontId="56" fillId="0" borderId="71" xfId="52203" applyNumberFormat="1" applyBorder="1" applyAlignment="1">
      <alignment horizontal="center" vertical="center" wrapText="1"/>
    </xf>
    <xf numFmtId="175" fontId="56" fillId="0" borderId="71" xfId="140" applyNumberFormat="1" applyFont="1" applyBorder="1" applyAlignment="1">
      <alignment horizontal="center" vertical="center" wrapText="1"/>
    </xf>
    <xf numFmtId="10" fontId="56" fillId="0" borderId="0" xfId="52203" applyNumberFormat="1" applyAlignment="1">
      <alignment horizontal="left" vertical="top"/>
    </xf>
    <xf numFmtId="0" fontId="56" fillId="0" borderId="0" xfId="52203" applyAlignment="1">
      <alignment horizontal="left" vertical="center"/>
    </xf>
    <xf numFmtId="175" fontId="59" fillId="0" borderId="71" xfId="140" applyNumberFormat="1" applyFont="1" applyBorder="1" applyAlignment="1">
      <alignment horizontal="center" vertical="center" wrapText="1"/>
    </xf>
    <xf numFmtId="0" fontId="56" fillId="0" borderId="0" xfId="52203"/>
    <xf numFmtId="0" fontId="56" fillId="2" borderId="75" xfId="52203" applyFill="1" applyBorder="1" applyAlignment="1">
      <alignment horizontal="left" vertical="top"/>
    </xf>
    <xf numFmtId="0" fontId="56" fillId="2" borderId="76" xfId="52203" applyFill="1" applyBorder="1" applyAlignment="1">
      <alignment horizontal="left" vertical="top"/>
    </xf>
    <xf numFmtId="0" fontId="56" fillId="0" borderId="79" xfId="52203" applyBorder="1" applyAlignment="1">
      <alignment horizontal="center" vertical="center" wrapText="1"/>
    </xf>
    <xf numFmtId="10" fontId="59" fillId="0" borderId="111" xfId="68" applyNumberFormat="1" applyFont="1" applyBorder="1" applyAlignment="1">
      <alignment horizontal="center" vertical="center" wrapText="1"/>
    </xf>
    <xf numFmtId="0" fontId="56" fillId="0" borderId="110" xfId="52203" applyBorder="1" applyAlignment="1">
      <alignment horizontal="center" vertical="center" wrapText="1"/>
    </xf>
    <xf numFmtId="175" fontId="59" fillId="2" borderId="71" xfId="140" applyNumberFormat="1" applyFont="1" applyFill="1" applyBorder="1" applyAlignment="1">
      <alignment horizontal="center" vertical="center" wrapText="1"/>
    </xf>
    <xf numFmtId="0" fontId="56" fillId="0" borderId="79" xfId="52203" applyBorder="1" applyAlignment="1">
      <alignment horizontal="left" vertical="center" wrapText="1"/>
    </xf>
    <xf numFmtId="0" fontId="81" fillId="0" borderId="0" xfId="52362" applyAlignment="1">
      <alignment horizontal="left" vertical="top"/>
    </xf>
    <xf numFmtId="0" fontId="81" fillId="0" borderId="0" xfId="52385" applyAlignment="1">
      <alignment horizontal="left" vertical="top"/>
    </xf>
    <xf numFmtId="0" fontId="81" fillId="0" borderId="0" xfId="52385" applyFont="1" applyAlignment="1">
      <alignment horizontal="left" vertical="top"/>
    </xf>
    <xf numFmtId="0" fontId="81" fillId="0" borderId="47" xfId="52385" applyBorder="1" applyAlignment="1">
      <alignment horizontal="left" vertical="top"/>
    </xf>
    <xf numFmtId="0" fontId="81" fillId="0" borderId="65" xfId="52362" applyBorder="1" applyAlignment="1">
      <alignment horizontal="left" vertical="top"/>
    </xf>
    <xf numFmtId="0" fontId="81" fillId="0" borderId="65" xfId="52385" applyBorder="1" applyAlignment="1">
      <alignment horizontal="left" vertical="top"/>
    </xf>
    <xf numFmtId="0" fontId="81" fillId="0" borderId="2" xfId="52385" applyBorder="1" applyAlignment="1">
      <alignment horizontal="left" vertical="top"/>
    </xf>
    <xf numFmtId="0" fontId="81" fillId="0" borderId="74" xfId="52385" applyFont="1" applyBorder="1" applyAlignment="1">
      <alignment horizontal="left" vertical="top"/>
    </xf>
    <xf numFmtId="0" fontId="81" fillId="0" borderId="65" xfId="52385" applyFont="1" applyBorder="1" applyAlignment="1">
      <alignment horizontal="left" vertical="top"/>
    </xf>
    <xf numFmtId="0" fontId="81" fillId="0" borderId="73" xfId="52385" applyFont="1" applyBorder="1" applyAlignment="1">
      <alignment horizontal="left" vertical="top"/>
    </xf>
    <xf numFmtId="0" fontId="81" fillId="0" borderId="74" xfId="52385" applyBorder="1" applyAlignment="1">
      <alignment horizontal="left" vertical="top"/>
    </xf>
    <xf numFmtId="0" fontId="81" fillId="0" borderId="67" xfId="52385" applyBorder="1" applyAlignment="1">
      <alignment horizontal="left" vertical="top"/>
    </xf>
    <xf numFmtId="0" fontId="154" fillId="3" borderId="71" xfId="52385" applyFont="1" applyFill="1" applyBorder="1" applyAlignment="1">
      <alignment horizontal="center" vertical="center"/>
    </xf>
    <xf numFmtId="0" fontId="81" fillId="0" borderId="71" xfId="52385" applyFont="1" applyBorder="1" applyAlignment="1">
      <alignment horizontal="center" vertical="center" wrapText="1"/>
    </xf>
    <xf numFmtId="0" fontId="81" fillId="0" borderId="71" xfId="52385" applyFont="1" applyBorder="1" applyAlignment="1">
      <alignment horizontal="center" vertical="center"/>
    </xf>
    <xf numFmtId="205" fontId="81" fillId="0" borderId="71" xfId="52385" applyNumberFormat="1" applyBorder="1" applyAlignment="1">
      <alignment horizontal="center" vertical="center" wrapText="1"/>
    </xf>
    <xf numFmtId="207" fontId="81" fillId="0" borderId="71" xfId="52385" applyNumberFormat="1" applyBorder="1" applyAlignment="1">
      <alignment horizontal="center" vertical="center" wrapText="1"/>
    </xf>
    <xf numFmtId="0" fontId="81" fillId="0" borderId="71" xfId="52385" applyBorder="1" applyAlignment="1">
      <alignment horizontal="center" vertical="center" wrapText="1"/>
    </xf>
    <xf numFmtId="0" fontId="81" fillId="0" borderId="3" xfId="52385" applyBorder="1" applyAlignment="1">
      <alignment horizontal="left" vertical="top"/>
    </xf>
    <xf numFmtId="0" fontId="81" fillId="0" borderId="71" xfId="52385" applyBorder="1" applyAlignment="1">
      <alignment horizontal="center" vertical="center"/>
    </xf>
    <xf numFmtId="0" fontId="81" fillId="0" borderId="71" xfId="52385" applyBorder="1" applyAlignment="1">
      <alignment horizontal="left" vertical="top" wrapText="1"/>
    </xf>
    <xf numFmtId="205" fontId="81" fillId="0" borderId="0" xfId="52385" applyNumberFormat="1" applyAlignment="1">
      <alignment horizontal="left" vertical="top"/>
    </xf>
    <xf numFmtId="0" fontId="81" fillId="0" borderId="71" xfId="52385" applyBorder="1" applyAlignment="1">
      <alignment horizontal="left" vertical="top"/>
    </xf>
    <xf numFmtId="4" fontId="152" fillId="0" borderId="0" xfId="52385" applyNumberFormat="1" applyFont="1" applyAlignment="1">
      <alignment horizontal="center" vertical="center"/>
    </xf>
    <xf numFmtId="205" fontId="81" fillId="0" borderId="71" xfId="52385" applyNumberFormat="1" applyBorder="1" applyAlignment="1">
      <alignment horizontal="center" vertical="center"/>
    </xf>
    <xf numFmtId="0" fontId="81" fillId="0" borderId="0" xfId="52385" applyFont="1" applyAlignment="1">
      <alignment horizontal="center" vertical="center" wrapText="1"/>
    </xf>
    <xf numFmtId="0" fontId="81" fillId="0" borderId="0" xfId="52385" applyAlignment="1">
      <alignment horizontal="center" vertical="center" wrapText="1"/>
    </xf>
    <xf numFmtId="205" fontId="81" fillId="0" borderId="0" xfId="52385" applyNumberFormat="1" applyAlignment="1">
      <alignment horizontal="center" vertical="center" wrapText="1"/>
    </xf>
    <xf numFmtId="0" fontId="81" fillId="0" borderId="0" xfId="52385" applyAlignment="1">
      <alignment horizontal="center" vertical="center"/>
    </xf>
    <xf numFmtId="2" fontId="81" fillId="0" borderId="0" xfId="52385" applyNumberFormat="1" applyAlignment="1">
      <alignment horizontal="center" vertical="center"/>
    </xf>
    <xf numFmtId="0" fontId="81" fillId="0" borderId="0" xfId="52385" applyAlignment="1">
      <alignment horizontal="left" vertical="top" wrapText="1"/>
    </xf>
    <xf numFmtId="205" fontId="81" fillId="0" borderId="47" xfId="52385" applyNumberFormat="1" applyBorder="1" applyAlignment="1">
      <alignment horizontal="left" vertical="top"/>
    </xf>
    <xf numFmtId="0" fontId="81" fillId="0" borderId="0" xfId="52385" applyFont="1" applyAlignment="1">
      <alignment horizontal="left" vertical="top" wrapText="1"/>
    </xf>
    <xf numFmtId="205" fontId="81" fillId="0" borderId="0" xfId="52385" applyNumberFormat="1" applyFont="1" applyAlignment="1">
      <alignment horizontal="left" vertical="top" wrapText="1"/>
    </xf>
    <xf numFmtId="0" fontId="81" fillId="0" borderId="2" xfId="52385" applyFont="1" applyBorder="1" applyAlignment="1">
      <alignment horizontal="left" vertical="top" wrapText="1"/>
    </xf>
    <xf numFmtId="0" fontId="81" fillId="0" borderId="47" xfId="52385" applyFont="1" applyBorder="1" applyAlignment="1">
      <alignment horizontal="left" vertical="top" wrapText="1"/>
    </xf>
    <xf numFmtId="205" fontId="81" fillId="0" borderId="47" xfId="52385" applyNumberFormat="1" applyFont="1" applyBorder="1" applyAlignment="1">
      <alignment horizontal="left" vertical="top" wrapText="1"/>
    </xf>
    <xf numFmtId="0" fontId="81" fillId="0" borderId="67" xfId="52385" applyFont="1" applyBorder="1" applyAlignment="1">
      <alignment horizontal="left" vertical="top" wrapText="1"/>
    </xf>
    <xf numFmtId="207" fontId="81" fillId="0" borderId="71" xfId="52385" applyNumberFormat="1" applyBorder="1" applyAlignment="1">
      <alignment horizontal="center" vertical="center"/>
    </xf>
    <xf numFmtId="205" fontId="81" fillId="0" borderId="0" xfId="52385" applyNumberFormat="1" applyAlignment="1">
      <alignment horizontal="left" vertical="top" wrapText="1"/>
    </xf>
    <xf numFmtId="0" fontId="81" fillId="0" borderId="0" xfId="52385" applyAlignment="1">
      <alignment horizontal="center" vertical="top"/>
    </xf>
    <xf numFmtId="0" fontId="81" fillId="0" borderId="0" xfId="52385" applyAlignment="1">
      <alignment horizontal="left" vertical="center"/>
    </xf>
    <xf numFmtId="0" fontId="81" fillId="0" borderId="71" xfId="52362" applyBorder="1" applyAlignment="1">
      <alignment horizontal="center" vertical="center" wrapText="1"/>
    </xf>
    <xf numFmtId="0" fontId="81" fillId="0" borderId="0" xfId="52385"/>
    <xf numFmtId="2" fontId="81" fillId="0" borderId="71" xfId="52385" applyNumberFormat="1" applyBorder="1" applyAlignment="1">
      <alignment horizontal="center" vertical="center" wrapText="1"/>
    </xf>
    <xf numFmtId="0" fontId="81" fillId="0" borderId="0" xfId="52362" applyAlignment="1">
      <alignment horizontal="left" vertical="top" wrapText="1"/>
    </xf>
    <xf numFmtId="0" fontId="154" fillId="3" borderId="71" xfId="52362" applyFont="1" applyFill="1" applyBorder="1" applyAlignment="1">
      <alignment horizontal="center" vertical="center"/>
    </xf>
    <xf numFmtId="0" fontId="81" fillId="0" borderId="71" xfId="52362" applyBorder="1" applyAlignment="1">
      <alignment horizontal="center" vertical="center"/>
    </xf>
    <xf numFmtId="205" fontId="81" fillId="0" borderId="71" xfId="52362" applyNumberFormat="1" applyBorder="1" applyAlignment="1">
      <alignment horizontal="center" vertical="center"/>
    </xf>
    <xf numFmtId="207" fontId="81" fillId="0" borderId="71" xfId="52362" applyNumberFormat="1" applyBorder="1" applyAlignment="1">
      <alignment horizontal="center" vertical="center"/>
    </xf>
    <xf numFmtId="205" fontId="81" fillId="0" borderId="71" xfId="52385" applyNumberFormat="1" applyFont="1" applyBorder="1" applyAlignment="1">
      <alignment horizontal="center" vertical="center"/>
    </xf>
    <xf numFmtId="0" fontId="148" fillId="3" borderId="80" xfId="52385" applyFont="1" applyFill="1" applyBorder="1" applyAlignment="1">
      <alignment horizontal="center" wrapText="1"/>
    </xf>
    <xf numFmtId="0" fontId="148" fillId="3" borderId="74" xfId="52385" applyFont="1" applyFill="1" applyBorder="1" applyAlignment="1">
      <alignment horizontal="center" wrapText="1"/>
    </xf>
    <xf numFmtId="0" fontId="154" fillId="3" borderId="80" xfId="52385" applyFont="1" applyFill="1" applyBorder="1" applyAlignment="1">
      <alignment horizontal="center" wrapText="1"/>
    </xf>
    <xf numFmtId="0" fontId="148" fillId="3" borderId="64" xfId="52385" applyFont="1" applyFill="1" applyBorder="1" applyAlignment="1">
      <alignment horizontal="center" wrapText="1"/>
    </xf>
    <xf numFmtId="0" fontId="148" fillId="3" borderId="67" xfId="52385" applyFont="1" applyFill="1" applyBorder="1" applyAlignment="1">
      <alignment horizontal="center" wrapText="1"/>
    </xf>
    <xf numFmtId="0" fontId="154" fillId="3" borderId="64" xfId="52385" applyFont="1" applyFill="1" applyBorder="1" applyAlignment="1">
      <alignment horizontal="center" wrapText="1"/>
    </xf>
    <xf numFmtId="208" fontId="81" fillId="0" borderId="71" xfId="52385" applyNumberFormat="1" applyBorder="1" applyAlignment="1">
      <alignment horizontal="center" vertical="center"/>
    </xf>
    <xf numFmtId="0" fontId="81" fillId="0" borderId="0" xfId="52385" applyFont="1" applyAlignment="1">
      <alignment horizontal="center" vertical="center"/>
    </xf>
    <xf numFmtId="0" fontId="81" fillId="0" borderId="2" xfId="52385" applyBorder="1" applyAlignment="1">
      <alignment horizontal="left" vertical="top" wrapText="1"/>
    </xf>
    <xf numFmtId="0" fontId="81" fillId="0" borderId="71" xfId="52385" applyFont="1" applyBorder="1" applyAlignment="1">
      <alignment horizontal="left" vertical="center" wrapText="1"/>
    </xf>
    <xf numFmtId="0" fontId="81" fillId="0" borderId="0" xfId="52362" applyAlignment="1">
      <alignment horizontal="center" vertical="center"/>
    </xf>
    <xf numFmtId="207" fontId="81" fillId="0" borderId="0" xfId="52362" applyNumberFormat="1" applyAlignment="1">
      <alignment horizontal="center" vertical="center"/>
    </xf>
    <xf numFmtId="0" fontId="81" fillId="0" borderId="0" xfId="52362" applyAlignment="1">
      <alignment horizontal="center" vertical="center" wrapText="1"/>
    </xf>
    <xf numFmtId="205" fontId="81" fillId="0" borderId="0" xfId="52385" applyNumberFormat="1" applyAlignment="1">
      <alignment horizontal="center" vertical="center"/>
    </xf>
    <xf numFmtId="2" fontId="81" fillId="0" borderId="0" xfId="52362" applyNumberFormat="1" applyAlignment="1">
      <alignment horizontal="center" vertical="center" wrapText="1"/>
    </xf>
    <xf numFmtId="2" fontId="81" fillId="0" borderId="0" xfId="52385" applyNumberFormat="1" applyAlignment="1">
      <alignment horizontal="left" vertical="top"/>
    </xf>
    <xf numFmtId="0" fontId="95" fillId="0" borderId="65" xfId="52385" applyFont="1" applyBorder="1" applyAlignment="1">
      <alignment horizontal="left" vertical="top"/>
    </xf>
    <xf numFmtId="0" fontId="95" fillId="0" borderId="0" xfId="52385" applyFont="1" applyAlignment="1">
      <alignment horizontal="left" vertical="top"/>
    </xf>
    <xf numFmtId="0" fontId="95" fillId="0" borderId="2" xfId="52385" applyFont="1" applyBorder="1" applyAlignment="1">
      <alignment horizontal="left" vertical="top"/>
    </xf>
    <xf numFmtId="206" fontId="95" fillId="0" borderId="0" xfId="52385" applyNumberFormat="1" applyFont="1" applyAlignment="1">
      <alignment horizontal="left" vertical="top"/>
    </xf>
    <xf numFmtId="2" fontId="95" fillId="0" borderId="0" xfId="52385" applyNumberFormat="1" applyFont="1" applyAlignment="1">
      <alignment horizontal="left" vertical="top"/>
    </xf>
    <xf numFmtId="0" fontId="154" fillId="3" borderId="71" xfId="52385" applyFont="1" applyFill="1" applyBorder="1" applyAlignment="1">
      <alignment horizontal="center" vertical="center" wrapText="1"/>
    </xf>
    <xf numFmtId="206" fontId="154" fillId="3" borderId="71" xfId="52385" applyNumberFormat="1" applyFont="1" applyFill="1" applyBorder="1" applyAlignment="1">
      <alignment horizontal="center" vertical="center" wrapText="1"/>
    </xf>
    <xf numFmtId="2" fontId="154" fillId="3" borderId="71" xfId="52385" applyNumberFormat="1" applyFont="1" applyFill="1" applyBorder="1" applyAlignment="1">
      <alignment horizontal="center" vertical="center" wrapText="1"/>
    </xf>
    <xf numFmtId="0" fontId="95" fillId="0" borderId="71" xfId="52385" applyFont="1" applyBorder="1" applyAlignment="1">
      <alignment horizontal="center" vertical="center" wrapText="1"/>
    </xf>
    <xf numFmtId="205" fontId="95" fillId="0" borderId="71" xfId="52385" applyNumberFormat="1" applyFont="1" applyBorder="1" applyAlignment="1">
      <alignment horizontal="center" vertical="center"/>
    </xf>
    <xf numFmtId="207" fontId="95" fillId="0" borderId="71" xfId="52385" applyNumberFormat="1" applyFont="1" applyBorder="1" applyAlignment="1">
      <alignment horizontal="center" vertical="center"/>
    </xf>
    <xf numFmtId="0" fontId="95" fillId="0" borderId="71" xfId="52385" applyFont="1" applyBorder="1" applyAlignment="1">
      <alignment horizontal="center" vertical="center"/>
    </xf>
    <xf numFmtId="2" fontId="95" fillId="0" borderId="72" xfId="52385" applyNumberFormat="1" applyFont="1" applyBorder="1" applyAlignment="1">
      <alignment horizontal="center" vertical="center" wrapText="1"/>
    </xf>
    <xf numFmtId="2" fontId="95" fillId="0" borderId="71" xfId="52385" applyNumberFormat="1" applyFont="1" applyBorder="1" applyAlignment="1">
      <alignment horizontal="center" vertical="center"/>
    </xf>
    <xf numFmtId="0" fontId="95" fillId="0" borderId="82" xfId="52385" applyFont="1" applyBorder="1" applyAlignment="1">
      <alignment horizontal="center" vertical="center" wrapText="1"/>
    </xf>
    <xf numFmtId="2" fontId="95" fillId="0" borderId="71" xfId="52385" applyNumberFormat="1" applyFont="1" applyBorder="1" applyAlignment="1">
      <alignment horizontal="center" vertical="center" wrapText="1"/>
    </xf>
    <xf numFmtId="205" fontId="95" fillId="0" borderId="0" xfId="52385" applyNumberFormat="1" applyFont="1" applyAlignment="1">
      <alignment horizontal="left" vertical="top"/>
    </xf>
    <xf numFmtId="1" fontId="156" fillId="0" borderId="71" xfId="52398" applyNumberFormat="1" applyFont="1" applyBorder="1" applyAlignment="1">
      <alignment horizontal="center" vertical="center" wrapText="1"/>
    </xf>
    <xf numFmtId="49" fontId="95" fillId="0" borderId="71" xfId="52385" applyNumberFormat="1" applyFont="1" applyBorder="1" applyAlignment="1">
      <alignment horizontal="center" vertical="center" wrapText="1"/>
    </xf>
    <xf numFmtId="205" fontId="95" fillId="0" borderId="71" xfId="52385" applyNumberFormat="1" applyFont="1" applyBorder="1" applyAlignment="1">
      <alignment horizontal="center" vertical="center" wrapText="1"/>
    </xf>
    <xf numFmtId="1" fontId="95" fillId="0" borderId="72" xfId="52385" applyNumberFormat="1" applyFont="1" applyBorder="1" applyAlignment="1">
      <alignment horizontal="center" vertical="center"/>
    </xf>
    <xf numFmtId="0" fontId="81" fillId="61" borderId="0" xfId="52385" applyFill="1" applyAlignment="1">
      <alignment horizontal="left" vertical="top"/>
    </xf>
    <xf numFmtId="2" fontId="95" fillId="0" borderId="71" xfId="52385" applyNumberFormat="1" applyFont="1" applyBorder="1" applyAlignment="1">
      <alignment horizontal="left" vertical="top"/>
    </xf>
    <xf numFmtId="2" fontId="81" fillId="0" borderId="71" xfId="52385" applyNumberFormat="1" applyBorder="1" applyAlignment="1">
      <alignment horizontal="center" vertical="center"/>
    </xf>
    <xf numFmtId="205" fontId="81" fillId="0" borderId="0" xfId="52362" applyNumberFormat="1" applyAlignment="1">
      <alignment horizontal="center" vertical="center"/>
    </xf>
    <xf numFmtId="209" fontId="81" fillId="0" borderId="0" xfId="52362" applyNumberFormat="1" applyAlignment="1">
      <alignment horizontal="center" vertical="center"/>
    </xf>
    <xf numFmtId="2" fontId="81" fillId="0" borderId="0" xfId="52362" applyNumberFormat="1" applyAlignment="1">
      <alignment horizontal="center" vertical="center"/>
    </xf>
    <xf numFmtId="209" fontId="148" fillId="3" borderId="80" xfId="52362" applyNumberFormat="1" applyFont="1" applyFill="1" applyBorder="1" applyAlignment="1">
      <alignment horizontal="center" vertical="center" wrapText="1"/>
    </xf>
    <xf numFmtId="209" fontId="148" fillId="3" borderId="70" xfId="52362" applyNumberFormat="1" applyFont="1" applyFill="1" applyBorder="1" applyAlignment="1">
      <alignment horizontal="center" vertical="center" wrapText="1"/>
    </xf>
    <xf numFmtId="209" fontId="148" fillId="3" borderId="64" xfId="52362" applyNumberFormat="1" applyFont="1" applyFill="1" applyBorder="1" applyAlignment="1">
      <alignment horizontal="center" vertical="center" wrapText="1"/>
    </xf>
    <xf numFmtId="0" fontId="56" fillId="2" borderId="0" xfId="1506" applyFont="1" applyFill="1" applyAlignment="1">
      <alignment horizontal="center" vertical="center" wrapText="1"/>
    </xf>
    <xf numFmtId="206" fontId="59" fillId="3" borderId="120" xfId="1506" applyNumberFormat="1" applyFont="1" applyFill="1" applyBorder="1" applyAlignment="1">
      <alignment horizontal="center" vertical="center" wrapText="1"/>
    </xf>
    <xf numFmtId="0" fontId="56" fillId="2" borderId="90" xfId="1437" applyFont="1" applyFill="1" applyBorder="1" applyAlignment="1">
      <alignment horizontal="center" vertical="center" wrapText="1"/>
    </xf>
    <xf numFmtId="0" fontId="56" fillId="2" borderId="117" xfId="1437" applyFont="1" applyFill="1" applyBorder="1" applyAlignment="1">
      <alignment horizontal="center" vertical="center" wrapText="1"/>
    </xf>
    <xf numFmtId="0" fontId="56" fillId="2" borderId="79" xfId="1437" applyFont="1" applyFill="1" applyBorder="1" applyAlignment="1">
      <alignment horizontal="center" vertical="center" wrapText="1"/>
    </xf>
    <xf numFmtId="0" fontId="56" fillId="2" borderId="120" xfId="1506" applyFont="1" applyFill="1" applyBorder="1" applyAlignment="1">
      <alignment horizontal="center" vertical="center" wrapText="1"/>
    </xf>
    <xf numFmtId="0" fontId="56" fillId="2" borderId="121" xfId="52399" applyFont="1" applyFill="1" applyBorder="1" applyAlignment="1" applyProtection="1">
      <alignment horizontal="center" vertical="center" wrapText="1"/>
      <protection locked="0"/>
    </xf>
    <xf numFmtId="0" fontId="56" fillId="2" borderId="0" xfId="52399" applyFont="1" applyFill="1" applyAlignment="1" applyProtection="1">
      <alignment horizontal="center" vertical="center" wrapText="1"/>
      <protection locked="0"/>
    </xf>
    <xf numFmtId="169" fontId="56" fillId="2" borderId="0" xfId="140" applyFont="1" applyFill="1" applyAlignment="1">
      <alignment horizontal="center" vertical="center" wrapText="1"/>
    </xf>
    <xf numFmtId="169" fontId="56" fillId="2" borderId="117" xfId="140" applyFont="1" applyFill="1" applyBorder="1" applyAlignment="1">
      <alignment horizontal="center" vertical="center" wrapText="1"/>
    </xf>
    <xf numFmtId="169" fontId="56" fillId="2" borderId="120" xfId="140" applyFont="1" applyFill="1" applyBorder="1" applyAlignment="1">
      <alignment horizontal="center" vertical="center" wrapText="1"/>
    </xf>
    <xf numFmtId="2" fontId="56" fillId="2" borderId="117" xfId="1437" applyNumberFormat="1" applyFont="1" applyFill="1" applyBorder="1" applyAlignment="1">
      <alignment horizontal="center" vertical="center" wrapText="1"/>
    </xf>
    <xf numFmtId="0" fontId="56" fillId="2" borderId="117" xfId="1437" applyFont="1" applyFill="1" applyBorder="1" applyAlignment="1">
      <alignment horizontal="center" vertical="center"/>
    </xf>
    <xf numFmtId="0" fontId="56" fillId="2" borderId="0" xfId="1437" applyFont="1" applyFill="1" applyAlignment="1">
      <alignment horizontal="center" vertical="center" wrapText="1"/>
    </xf>
    <xf numFmtId="0" fontId="56" fillId="2" borderId="0" xfId="1437" applyFont="1" applyFill="1" applyAlignment="1">
      <alignment vertical="center" wrapText="1"/>
    </xf>
    <xf numFmtId="0" fontId="56" fillId="2" borderId="105" xfId="1437" applyFont="1" applyFill="1" applyBorder="1" applyAlignment="1">
      <alignment horizontal="center" vertical="center" wrapText="1"/>
    </xf>
    <xf numFmtId="0" fontId="56" fillId="2" borderId="113" xfId="1437" applyFont="1" applyFill="1" applyBorder="1" applyAlignment="1">
      <alignment horizontal="center" vertical="center" wrapText="1"/>
    </xf>
    <xf numFmtId="2" fontId="56" fillId="2" borderId="113" xfId="1437" applyNumberFormat="1" applyFont="1" applyFill="1" applyBorder="1" applyAlignment="1">
      <alignment horizontal="center" vertical="center" wrapText="1"/>
    </xf>
    <xf numFmtId="0" fontId="56" fillId="2" borderId="113" xfId="1437" applyFont="1" applyFill="1" applyBorder="1" applyAlignment="1">
      <alignment horizontal="center" vertical="center"/>
    </xf>
    <xf numFmtId="169" fontId="56" fillId="2" borderId="113" xfId="140" applyFont="1" applyFill="1" applyBorder="1" applyAlignment="1">
      <alignment vertical="center" wrapText="1"/>
    </xf>
    <xf numFmtId="0" fontId="56" fillId="2" borderId="106" xfId="1437" applyFont="1" applyFill="1" applyBorder="1" applyAlignment="1">
      <alignment vertical="center" wrapText="1"/>
    </xf>
    <xf numFmtId="0" fontId="56" fillId="2" borderId="119" xfId="0" applyFont="1" applyFill="1" applyBorder="1" applyAlignment="1">
      <alignment vertical="center" wrapText="1"/>
    </xf>
    <xf numFmtId="0" fontId="56" fillId="2" borderId="120" xfId="0" applyFont="1" applyFill="1" applyBorder="1" applyAlignment="1">
      <alignment vertical="center" wrapText="1"/>
    </xf>
    <xf numFmtId="0" fontId="81" fillId="0" borderId="117" xfId="0" applyFont="1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205" fontId="81" fillId="0" borderId="117" xfId="52385" applyNumberFormat="1" applyBorder="1" applyAlignment="1">
      <alignment horizontal="center" vertical="center" wrapText="1"/>
    </xf>
    <xf numFmtId="207" fontId="81" fillId="0" borderId="117" xfId="52385" applyNumberFormat="1" applyBorder="1" applyAlignment="1">
      <alignment horizontal="center" vertical="center" wrapText="1"/>
    </xf>
    <xf numFmtId="0" fontId="81" fillId="0" borderId="117" xfId="52385" applyBorder="1" applyAlignment="1">
      <alignment horizontal="center" vertical="center" wrapText="1"/>
    </xf>
    <xf numFmtId="0" fontId="81" fillId="0" borderId="117" xfId="52385" applyBorder="1" applyAlignment="1">
      <alignment horizontal="center" vertical="center"/>
    </xf>
    <xf numFmtId="176" fontId="81" fillId="0" borderId="117" xfId="52385" applyNumberFormat="1" applyBorder="1" applyAlignment="1">
      <alignment horizontal="center" vertical="center"/>
    </xf>
    <xf numFmtId="0" fontId="0" fillId="0" borderId="117" xfId="0" applyBorder="1" applyAlignment="1">
      <alignment horizontal="left" vertical="top" wrapText="1"/>
    </xf>
    <xf numFmtId="0" fontId="81" fillId="0" borderId="117" xfId="52385" applyBorder="1" applyAlignment="1">
      <alignment horizontal="left" vertical="top"/>
    </xf>
    <xf numFmtId="205" fontId="81" fillId="0" borderId="117" xfId="52385" applyNumberFormat="1" applyBorder="1" applyAlignment="1">
      <alignment horizontal="center" vertical="center"/>
    </xf>
    <xf numFmtId="0" fontId="81" fillId="0" borderId="117" xfId="52362" applyBorder="1" applyAlignment="1">
      <alignment horizontal="center" vertical="center" wrapText="1"/>
    </xf>
    <xf numFmtId="0" fontId="81" fillId="0" borderId="0" xfId="52385" applyFill="1" applyAlignment="1">
      <alignment horizontal="left" vertical="top"/>
    </xf>
    <xf numFmtId="205" fontId="81" fillId="0" borderId="117" xfId="52362" applyNumberFormat="1" applyBorder="1" applyAlignment="1">
      <alignment horizontal="center" vertical="center"/>
    </xf>
    <xf numFmtId="0" fontId="81" fillId="0" borderId="117" xfId="52362" applyBorder="1" applyAlignment="1">
      <alignment horizontal="center" vertical="center"/>
    </xf>
    <xf numFmtId="0" fontId="81" fillId="0" borderId="117" xfId="52362" applyFill="1" applyBorder="1" applyAlignment="1">
      <alignment horizontal="center" vertical="center"/>
    </xf>
    <xf numFmtId="209" fontId="81" fillId="0" borderId="117" xfId="52362" applyNumberFormat="1" applyBorder="1" applyAlignment="1">
      <alignment horizontal="center" vertical="center" wrapText="1"/>
    </xf>
    <xf numFmtId="2" fontId="81" fillId="0" borderId="117" xfId="52362" applyNumberFormat="1" applyBorder="1" applyAlignment="1">
      <alignment horizontal="center" vertical="center"/>
    </xf>
    <xf numFmtId="209" fontId="81" fillId="0" borderId="117" xfId="52362" applyNumberFormat="1" applyBorder="1" applyAlignment="1">
      <alignment horizontal="center" vertical="center"/>
    </xf>
    <xf numFmtId="0" fontId="81" fillId="0" borderId="2" xfId="52385" applyFont="1" applyBorder="1" applyAlignment="1">
      <alignment horizontal="left" vertical="top" wrapText="1"/>
    </xf>
    <xf numFmtId="0" fontId="81" fillId="0" borderId="3" xfId="52385" applyFont="1" applyBorder="1" applyAlignment="1">
      <alignment horizontal="left" vertical="top"/>
    </xf>
    <xf numFmtId="0" fontId="81" fillId="0" borderId="47" xfId="52385" applyFont="1" applyBorder="1" applyAlignment="1">
      <alignment horizontal="left" vertical="top" wrapText="1"/>
    </xf>
    <xf numFmtId="0" fontId="81" fillId="0" borderId="67" xfId="52385" applyFont="1" applyBorder="1" applyAlignment="1">
      <alignment horizontal="left" vertical="top" wrapText="1"/>
    </xf>
    <xf numFmtId="0" fontId="154" fillId="3" borderId="64" xfId="52362" applyFont="1" applyFill="1" applyBorder="1" applyAlignment="1">
      <alignment horizontal="center" vertical="center"/>
    </xf>
    <xf numFmtId="0" fontId="148" fillId="3" borderId="64" xfId="52362" applyFont="1" applyFill="1" applyBorder="1" applyAlignment="1">
      <alignment horizontal="center" vertical="center" wrapText="1"/>
    </xf>
    <xf numFmtId="0" fontId="154" fillId="3" borderId="64" xfId="52362" applyFont="1" applyFill="1" applyBorder="1" applyAlignment="1">
      <alignment horizontal="center" vertical="center" wrapText="1"/>
    </xf>
    <xf numFmtId="0" fontId="81" fillId="0" borderId="65" xfId="52362" applyBorder="1" applyAlignment="1">
      <alignment horizontal="center" vertical="center" wrapText="1"/>
    </xf>
    <xf numFmtId="0" fontId="81" fillId="0" borderId="73" xfId="52362" applyBorder="1" applyAlignment="1">
      <alignment horizontal="center" vertical="center" wrapText="1"/>
    </xf>
    <xf numFmtId="0" fontId="81" fillId="2" borderId="0" xfId="52385" applyFill="1" applyAlignment="1">
      <alignment horizontal="left" vertical="top"/>
    </xf>
    <xf numFmtId="0" fontId="81" fillId="2" borderId="47" xfId="52385" applyFill="1" applyBorder="1" applyAlignment="1">
      <alignment horizontal="left" vertical="top"/>
    </xf>
    <xf numFmtId="0" fontId="152" fillId="2" borderId="2" xfId="52385" applyFont="1" applyFill="1" applyBorder="1" applyAlignment="1">
      <alignment horizontal="center" vertical="top"/>
    </xf>
    <xf numFmtId="0" fontId="152" fillId="2" borderId="65" xfId="52385" applyFont="1" applyFill="1" applyBorder="1" applyAlignment="1">
      <alignment horizontal="center" vertical="top"/>
    </xf>
    <xf numFmtId="0" fontId="81" fillId="2" borderId="65" xfId="52385" applyFont="1" applyFill="1" applyBorder="1" applyAlignment="1">
      <alignment horizontal="center" vertical="top"/>
    </xf>
    <xf numFmtId="0" fontId="81" fillId="2" borderId="65" xfId="52385" applyFont="1" applyFill="1" applyBorder="1" applyAlignment="1">
      <alignment vertical="top" wrapText="1"/>
    </xf>
    <xf numFmtId="0" fontId="81" fillId="2" borderId="2" xfId="52385" applyFont="1" applyFill="1" applyBorder="1" applyAlignment="1">
      <alignment vertical="top" wrapText="1"/>
    </xf>
    <xf numFmtId="0" fontId="81" fillId="2" borderId="0" xfId="52362" applyFill="1" applyAlignment="1">
      <alignment horizontal="left" vertical="top"/>
    </xf>
    <xf numFmtId="0" fontId="81" fillId="2" borderId="2" xfId="52362" applyFill="1" applyBorder="1" applyAlignment="1">
      <alignment horizontal="left" vertical="top"/>
    </xf>
    <xf numFmtId="0" fontId="81" fillId="2" borderId="65" xfId="52362" applyFill="1" applyBorder="1" applyAlignment="1">
      <alignment horizontal="left" vertical="top"/>
    </xf>
    <xf numFmtId="0" fontId="81" fillId="2" borderId="3" xfId="52362" applyFill="1" applyBorder="1" applyAlignment="1">
      <alignment horizontal="left" vertical="top"/>
    </xf>
    <xf numFmtId="0" fontId="81" fillId="2" borderId="47" xfId="52362" applyFill="1" applyBorder="1" applyAlignment="1">
      <alignment horizontal="left" vertical="top"/>
    </xf>
    <xf numFmtId="0" fontId="81" fillId="2" borderId="67" xfId="52362" applyFill="1" applyBorder="1" applyAlignment="1">
      <alignment horizontal="left" vertical="top"/>
    </xf>
    <xf numFmtId="0" fontId="81" fillId="2" borderId="74" xfId="52362" applyFill="1" applyBorder="1" applyAlignment="1">
      <alignment horizontal="left" vertical="top"/>
    </xf>
    <xf numFmtId="0" fontId="81" fillId="2" borderId="73" xfId="52362" applyFill="1" applyBorder="1" applyAlignment="1">
      <alignment horizontal="left" vertical="top"/>
    </xf>
    <xf numFmtId="0" fontId="148" fillId="2" borderId="103" xfId="52385" applyFont="1" applyFill="1" applyBorder="1" applyAlignment="1">
      <alignment horizontal="left" vertical="top"/>
    </xf>
    <xf numFmtId="0" fontId="148" fillId="2" borderId="102" xfId="52385" applyFont="1" applyFill="1" applyBorder="1" applyAlignment="1">
      <alignment horizontal="left" vertical="top"/>
    </xf>
    <xf numFmtId="0" fontId="81" fillId="2" borderId="102" xfId="52385" applyFont="1" applyFill="1" applyBorder="1" applyAlignment="1">
      <alignment horizontal="left" vertical="top"/>
    </xf>
    <xf numFmtId="0" fontId="81" fillId="2" borderId="104" xfId="52385" applyFont="1" applyFill="1" applyBorder="1" applyAlignment="1">
      <alignment horizontal="left" vertical="top"/>
    </xf>
    <xf numFmtId="0" fontId="148" fillId="2" borderId="75" xfId="52385" applyFont="1" applyFill="1" applyBorder="1" applyAlignment="1">
      <alignment horizontal="left" vertical="top"/>
    </xf>
    <xf numFmtId="0" fontId="148" fillId="2" borderId="0" xfId="52385" applyFont="1" applyFill="1" applyBorder="1" applyAlignment="1">
      <alignment horizontal="left" vertical="top"/>
    </xf>
    <xf numFmtId="0" fontId="81" fillId="2" borderId="0" xfId="52385" applyFont="1" applyFill="1" applyBorder="1" applyAlignment="1">
      <alignment horizontal="left" vertical="top"/>
    </xf>
    <xf numFmtId="0" fontId="81" fillId="2" borderId="76" xfId="52385" applyFont="1" applyFill="1" applyBorder="1" applyAlignment="1">
      <alignment horizontal="left" vertical="top"/>
    </xf>
    <xf numFmtId="17" fontId="81" fillId="2" borderId="0" xfId="52385" applyNumberFormat="1" applyFont="1" applyFill="1" applyBorder="1" applyAlignment="1">
      <alignment horizontal="left" vertical="top"/>
    </xf>
    <xf numFmtId="0" fontId="81" fillId="2" borderId="93" xfId="52385" applyFill="1" applyBorder="1" applyAlignment="1">
      <alignment horizontal="left" vertical="top"/>
    </xf>
    <xf numFmtId="0" fontId="81" fillId="2" borderId="94" xfId="52385" applyFill="1" applyBorder="1" applyAlignment="1">
      <alignment horizontal="left" vertical="top"/>
    </xf>
    <xf numFmtId="0" fontId="152" fillId="2" borderId="0" xfId="52385" applyFont="1" applyFill="1" applyBorder="1" applyAlignment="1">
      <alignment horizontal="center" vertical="top"/>
    </xf>
    <xf numFmtId="0" fontId="81" fillId="2" borderId="0" xfId="52385" applyFill="1" applyBorder="1" applyAlignment="1">
      <alignment horizontal="left" vertical="top"/>
    </xf>
    <xf numFmtId="0" fontId="152" fillId="2" borderId="75" xfId="52385" applyFont="1" applyFill="1" applyBorder="1" applyAlignment="1">
      <alignment horizontal="center" vertical="top"/>
    </xf>
    <xf numFmtId="0" fontId="152" fillId="2" borderId="76" xfId="52385" applyFont="1" applyFill="1" applyBorder="1" applyAlignment="1">
      <alignment horizontal="center" vertical="top"/>
    </xf>
    <xf numFmtId="0" fontId="81" fillId="2" borderId="0" xfId="52385" applyFont="1" applyFill="1" applyBorder="1" applyAlignment="1">
      <alignment horizontal="center" vertical="top"/>
    </xf>
    <xf numFmtId="0" fontId="81" fillId="2" borderId="90" xfId="52385" applyFont="1" applyFill="1" applyBorder="1" applyAlignment="1">
      <alignment horizontal="center" vertical="top"/>
    </xf>
    <xf numFmtId="0" fontId="81" fillId="2" borderId="117" xfId="52385" applyFont="1" applyFill="1" applyBorder="1" applyAlignment="1">
      <alignment horizontal="center" vertical="top"/>
    </xf>
    <xf numFmtId="0" fontId="152" fillId="2" borderId="117" xfId="52385" applyFont="1" applyFill="1" applyBorder="1" applyAlignment="1">
      <alignment horizontal="center" vertical="top"/>
    </xf>
    <xf numFmtId="0" fontId="81" fillId="2" borderId="75" xfId="52362" applyFill="1" applyBorder="1" applyAlignment="1">
      <alignment horizontal="left" vertical="top"/>
    </xf>
    <xf numFmtId="0" fontId="81" fillId="2" borderId="117" xfId="52362" applyFill="1" applyBorder="1" applyAlignment="1">
      <alignment horizontal="left" vertical="top"/>
    </xf>
    <xf numFmtId="0" fontId="81" fillId="2" borderId="0" xfId="52362" applyFill="1" applyBorder="1" applyAlignment="1">
      <alignment horizontal="left" vertical="top"/>
    </xf>
    <xf numFmtId="0" fontId="81" fillId="2" borderId="0" xfId="52362" applyFill="1" applyBorder="1" applyAlignment="1">
      <alignment vertical="top"/>
    </xf>
    <xf numFmtId="0" fontId="81" fillId="2" borderId="76" xfId="52385" applyFont="1" applyFill="1" applyBorder="1" applyAlignment="1">
      <alignment vertical="top" wrapText="1"/>
    </xf>
    <xf numFmtId="0" fontId="81" fillId="2" borderId="76" xfId="52362" applyFill="1" applyBorder="1" applyAlignment="1">
      <alignment horizontal="left" vertical="top"/>
    </xf>
    <xf numFmtId="0" fontId="81" fillId="2" borderId="94" xfId="52362" applyFill="1" applyBorder="1" applyAlignment="1">
      <alignment horizontal="left" vertical="top"/>
    </xf>
    <xf numFmtId="0" fontId="81" fillId="2" borderId="93" xfId="52362" applyFill="1" applyBorder="1" applyAlignment="1">
      <alignment horizontal="left" vertical="top"/>
    </xf>
    <xf numFmtId="0" fontId="81" fillId="2" borderId="114" xfId="52362" applyFill="1" applyBorder="1" applyAlignment="1">
      <alignment horizontal="left" vertical="top"/>
    </xf>
    <xf numFmtId="0" fontId="81" fillId="2" borderId="115" xfId="52362" applyFill="1" applyBorder="1" applyAlignment="1">
      <alignment horizontal="left" vertical="top"/>
    </xf>
    <xf numFmtId="0" fontId="81" fillId="2" borderId="116" xfId="52362" applyFill="1" applyBorder="1" applyAlignment="1">
      <alignment horizontal="left" vertical="top"/>
    </xf>
    <xf numFmtId="0" fontId="81" fillId="2" borderId="77" xfId="52362" applyFill="1" applyBorder="1" applyAlignment="1">
      <alignment horizontal="left" vertical="top"/>
    </xf>
    <xf numFmtId="0" fontId="81" fillId="2" borderId="69" xfId="52362" applyFill="1" applyBorder="1" applyAlignment="1">
      <alignment horizontal="left" vertical="top"/>
    </xf>
    <xf numFmtId="0" fontId="81" fillId="2" borderId="122" xfId="52362" applyFill="1" applyBorder="1" applyAlignment="1">
      <alignment horizontal="left" vertical="top"/>
    </xf>
    <xf numFmtId="0" fontId="81" fillId="2" borderId="83" xfId="52362" applyFill="1" applyBorder="1" applyAlignment="1">
      <alignment horizontal="left" vertical="top"/>
    </xf>
    <xf numFmtId="0" fontId="81" fillId="2" borderId="78" xfId="52362" applyFill="1" applyBorder="1" applyAlignment="1">
      <alignment horizontal="left" vertical="top"/>
    </xf>
    <xf numFmtId="0" fontId="81" fillId="0" borderId="82" xfId="52385" applyBorder="1" applyAlignment="1">
      <alignment horizontal="left" vertical="top"/>
    </xf>
    <xf numFmtId="0" fontId="81" fillId="0" borderId="72" xfId="52385" applyBorder="1" applyAlignment="1">
      <alignment horizontal="left" vertical="top"/>
    </xf>
    <xf numFmtId="0" fontId="81" fillId="0" borderId="81" xfId="52385" applyBorder="1" applyAlignment="1">
      <alignment horizontal="left" vertical="top"/>
    </xf>
    <xf numFmtId="0" fontId="81" fillId="0" borderId="81" xfId="52385" applyBorder="1" applyAlignment="1">
      <alignment horizontal="left" vertical="top" wrapText="1"/>
    </xf>
    <xf numFmtId="0" fontId="81" fillId="0" borderId="72" xfId="52362" applyBorder="1" applyAlignment="1">
      <alignment horizontal="left" vertical="top"/>
    </xf>
    <xf numFmtId="0" fontId="81" fillId="0" borderId="81" xfId="52362" applyBorder="1" applyAlignment="1">
      <alignment horizontal="left" vertical="top"/>
    </xf>
    <xf numFmtId="0" fontId="81" fillId="0" borderId="81" xfId="52362" applyBorder="1" applyAlignment="1">
      <alignment horizontal="left" vertical="top" wrapText="1"/>
    </xf>
    <xf numFmtId="0" fontId="81" fillId="0" borderId="82" xfId="52362" applyBorder="1" applyAlignment="1">
      <alignment horizontal="left" vertical="top"/>
    </xf>
    <xf numFmtId="0" fontId="81" fillId="0" borderId="0" xfId="52385" applyBorder="1" applyAlignment="1">
      <alignment horizontal="left" vertical="top"/>
    </xf>
    <xf numFmtId="0" fontId="154" fillId="3" borderId="117" xfId="52385" applyFont="1" applyFill="1" applyBorder="1" applyAlignment="1">
      <alignment horizontal="center" vertical="center"/>
    </xf>
    <xf numFmtId="0" fontId="81" fillId="0" borderId="117" xfId="52385" applyFont="1" applyBorder="1" applyAlignment="1">
      <alignment horizontal="center" vertical="center" wrapText="1"/>
    </xf>
    <xf numFmtId="0" fontId="81" fillId="0" borderId="115" xfId="52385" applyBorder="1" applyAlignment="1">
      <alignment horizontal="left" vertical="top"/>
    </xf>
    <xf numFmtId="0" fontId="81" fillId="0" borderId="117" xfId="52385" applyFont="1" applyBorder="1" applyAlignment="1">
      <alignment horizontal="center" vertical="center"/>
    </xf>
    <xf numFmtId="207" fontId="81" fillId="0" borderId="117" xfId="52385" quotePrefix="1" applyNumberFormat="1" applyBorder="1" applyAlignment="1">
      <alignment horizontal="center" vertical="center" wrapText="1"/>
    </xf>
    <xf numFmtId="0" fontId="81" fillId="0" borderId="115" xfId="52385" applyFont="1" applyBorder="1" applyAlignment="1">
      <alignment horizontal="left" vertical="top"/>
    </xf>
    <xf numFmtId="0" fontId="81" fillId="0" borderId="0" xfId="52385" applyBorder="1" applyAlignment="1">
      <alignment horizontal="center" vertical="top"/>
    </xf>
    <xf numFmtId="0" fontId="81" fillId="0" borderId="0" xfId="52385" applyFont="1" applyBorder="1" applyAlignment="1">
      <alignment horizontal="left" vertical="top" wrapText="1"/>
    </xf>
    <xf numFmtId="0" fontId="81" fillId="0" borderId="81" xfId="52385" applyBorder="1" applyAlignment="1">
      <alignment horizontal="center" vertical="top"/>
    </xf>
    <xf numFmtId="0" fontId="81" fillId="0" borderId="82" xfId="52385" applyBorder="1" applyAlignment="1">
      <alignment horizontal="left" vertical="top" wrapText="1"/>
    </xf>
    <xf numFmtId="0" fontId="154" fillId="3" borderId="117" xfId="52362" applyFont="1" applyFill="1" applyBorder="1" applyAlignment="1">
      <alignment horizontal="center" vertical="center"/>
    </xf>
    <xf numFmtId="208" fontId="81" fillId="0" borderId="117" xfId="52385" applyNumberFormat="1" applyBorder="1" applyAlignment="1">
      <alignment horizontal="center" vertical="center"/>
    </xf>
    <xf numFmtId="2" fontId="81" fillId="0" borderId="117" xfId="52362" applyNumberFormat="1" applyBorder="1" applyAlignment="1">
      <alignment horizontal="center" vertical="center" wrapText="1"/>
    </xf>
    <xf numFmtId="0" fontId="95" fillId="0" borderId="0" xfId="52385" applyFont="1" applyBorder="1" applyAlignment="1">
      <alignment horizontal="left" vertical="top"/>
    </xf>
    <xf numFmtId="206" fontId="95" fillId="0" borderId="0" xfId="52385" applyNumberFormat="1" applyFont="1" applyBorder="1" applyAlignment="1">
      <alignment horizontal="left" vertical="top"/>
    </xf>
    <xf numFmtId="2" fontId="95" fillId="0" borderId="0" xfId="52385" applyNumberFormat="1" applyFont="1" applyBorder="1" applyAlignment="1">
      <alignment horizontal="left" vertical="top"/>
    </xf>
    <xf numFmtId="0" fontId="95" fillId="0" borderId="115" xfId="52385" applyFont="1" applyBorder="1" applyAlignment="1">
      <alignment horizontal="left" vertical="top"/>
    </xf>
    <xf numFmtId="206" fontId="95" fillId="0" borderId="115" xfId="52385" applyNumberFormat="1" applyFont="1" applyBorder="1" applyAlignment="1">
      <alignment horizontal="left" vertical="top"/>
    </xf>
    <xf numFmtId="2" fontId="95" fillId="0" borderId="115" xfId="52385" applyNumberFormat="1" applyFont="1" applyBorder="1" applyAlignment="1">
      <alignment horizontal="left" vertical="top"/>
    </xf>
    <xf numFmtId="0" fontId="95" fillId="0" borderId="74" xfId="52385" applyFont="1" applyBorder="1" applyAlignment="1">
      <alignment horizontal="left" vertical="top"/>
    </xf>
    <xf numFmtId="0" fontId="95" fillId="0" borderId="73" xfId="52385" applyFont="1" applyBorder="1" applyAlignment="1">
      <alignment horizontal="left" vertical="top"/>
    </xf>
    <xf numFmtId="0" fontId="148" fillId="3" borderId="117" xfId="52385" applyFont="1" applyFill="1" applyBorder="1" applyAlignment="1">
      <alignment horizontal="center" vertical="center" wrapText="1"/>
    </xf>
    <xf numFmtId="0" fontId="81" fillId="2" borderId="65" xfId="52385" applyFont="1" applyFill="1" applyBorder="1" applyAlignment="1">
      <alignment horizontal="center" vertical="top" wrapText="1"/>
    </xf>
    <xf numFmtId="0" fontId="81" fillId="2" borderId="0" xfId="52385" applyFont="1" applyFill="1" applyBorder="1" applyAlignment="1">
      <alignment horizontal="center" vertical="top" wrapText="1"/>
    </xf>
    <xf numFmtId="0" fontId="81" fillId="2" borderId="2" xfId="52385" applyFont="1" applyFill="1" applyBorder="1" applyAlignment="1">
      <alignment horizontal="center" vertical="top" wrapText="1"/>
    </xf>
    <xf numFmtId="0" fontId="81" fillId="2" borderId="72" xfId="52362" applyFill="1" applyBorder="1" applyAlignment="1">
      <alignment horizontal="center" vertical="top"/>
    </xf>
    <xf numFmtId="0" fontId="81" fillId="2" borderId="81" xfId="52362" applyFill="1" applyBorder="1" applyAlignment="1">
      <alignment horizontal="center" vertical="top"/>
    </xf>
    <xf numFmtId="0" fontId="81" fillId="2" borderId="82" xfId="52362" applyFill="1" applyBorder="1" applyAlignment="1">
      <alignment horizontal="center" vertical="top"/>
    </xf>
    <xf numFmtId="2" fontId="152" fillId="2" borderId="73" xfId="52362" applyNumberFormat="1" applyFont="1" applyFill="1" applyBorder="1" applyAlignment="1">
      <alignment horizontal="center" vertical="top"/>
    </xf>
    <xf numFmtId="0" fontId="152" fillId="2" borderId="115" xfId="52362" applyFont="1" applyFill="1" applyBorder="1" applyAlignment="1">
      <alignment horizontal="center" vertical="top"/>
    </xf>
    <xf numFmtId="0" fontId="152" fillId="2" borderId="74" xfId="52362" applyFont="1" applyFill="1" applyBorder="1" applyAlignment="1">
      <alignment horizontal="center" vertical="top"/>
    </xf>
    <xf numFmtId="0" fontId="152" fillId="2" borderId="3" xfId="52362" applyFont="1" applyFill="1" applyBorder="1" applyAlignment="1">
      <alignment horizontal="center" vertical="top"/>
    </xf>
    <xf numFmtId="0" fontId="152" fillId="2" borderId="47" xfId="52362" applyFont="1" applyFill="1" applyBorder="1" applyAlignment="1">
      <alignment horizontal="center" vertical="top"/>
    </xf>
    <xf numFmtId="0" fontId="152" fillId="2" borderId="67" xfId="52362" applyFont="1" applyFill="1" applyBorder="1" applyAlignment="1">
      <alignment horizontal="center" vertical="top"/>
    </xf>
    <xf numFmtId="0" fontId="81" fillId="2" borderId="75" xfId="52385" applyFont="1" applyFill="1" applyBorder="1" applyAlignment="1">
      <alignment horizontal="center" vertical="top" wrapText="1"/>
    </xf>
    <xf numFmtId="2" fontId="152" fillId="2" borderId="115" xfId="52362" applyNumberFormat="1" applyFont="1" applyFill="1" applyBorder="1" applyAlignment="1">
      <alignment horizontal="center" vertical="top"/>
    </xf>
    <xf numFmtId="2" fontId="152" fillId="2" borderId="74" xfId="52362" applyNumberFormat="1" applyFont="1" applyFill="1" applyBorder="1" applyAlignment="1">
      <alignment horizontal="center" vertical="top"/>
    </xf>
    <xf numFmtId="2" fontId="152" fillId="2" borderId="3" xfId="52362" applyNumberFormat="1" applyFont="1" applyFill="1" applyBorder="1" applyAlignment="1">
      <alignment horizontal="center" vertical="top"/>
    </xf>
    <xf numFmtId="2" fontId="152" fillId="2" borderId="47" xfId="52362" applyNumberFormat="1" applyFont="1" applyFill="1" applyBorder="1" applyAlignment="1">
      <alignment horizontal="center" vertical="top"/>
    </xf>
    <xf numFmtId="2" fontId="152" fillId="2" borderId="67" xfId="52362" applyNumberFormat="1" applyFont="1" applyFill="1" applyBorder="1" applyAlignment="1">
      <alignment horizontal="center" vertical="top"/>
    </xf>
    <xf numFmtId="0" fontId="81" fillId="2" borderId="76" xfId="52385" applyFont="1" applyFill="1" applyBorder="1" applyAlignment="1">
      <alignment horizontal="center" vertical="top" wrapText="1"/>
    </xf>
    <xf numFmtId="205" fontId="152" fillId="2" borderId="73" xfId="52362" applyNumberFormat="1" applyFont="1" applyFill="1" applyBorder="1" applyAlignment="1">
      <alignment horizontal="center" vertical="top"/>
    </xf>
    <xf numFmtId="205" fontId="152" fillId="2" borderId="115" xfId="52362" applyNumberFormat="1" applyFont="1" applyFill="1" applyBorder="1" applyAlignment="1">
      <alignment horizontal="center" vertical="top"/>
    </xf>
    <xf numFmtId="205" fontId="152" fillId="2" borderId="74" xfId="52362" applyNumberFormat="1" applyFont="1" applyFill="1" applyBorder="1" applyAlignment="1">
      <alignment horizontal="center" vertical="top"/>
    </xf>
    <xf numFmtId="205" fontId="152" fillId="2" borderId="3" xfId="52362" applyNumberFormat="1" applyFont="1" applyFill="1" applyBorder="1" applyAlignment="1">
      <alignment horizontal="center" vertical="top"/>
    </xf>
    <xf numFmtId="205" fontId="152" fillId="2" borderId="47" xfId="52362" applyNumberFormat="1" applyFont="1" applyFill="1" applyBorder="1" applyAlignment="1">
      <alignment horizontal="center" vertical="top"/>
    </xf>
    <xf numFmtId="205" fontId="152" fillId="2" borderId="67" xfId="52362" applyNumberFormat="1" applyFont="1" applyFill="1" applyBorder="1" applyAlignment="1">
      <alignment horizontal="center" vertical="top"/>
    </xf>
    <xf numFmtId="0" fontId="81" fillId="2" borderId="65" xfId="52362" applyFill="1" applyBorder="1" applyAlignment="1">
      <alignment horizontal="center" vertical="top"/>
    </xf>
    <xf numFmtId="0" fontId="81" fillId="2" borderId="0" xfId="52362" applyFill="1" applyBorder="1" applyAlignment="1">
      <alignment horizontal="center" vertical="top"/>
    </xf>
    <xf numFmtId="0" fontId="81" fillId="2" borderId="76" xfId="52362" applyFill="1" applyBorder="1" applyAlignment="1">
      <alignment horizontal="center" vertical="top"/>
    </xf>
    <xf numFmtId="0" fontId="81" fillId="2" borderId="117" xfId="52385" applyFont="1" applyFill="1" applyBorder="1" applyAlignment="1">
      <alignment horizontal="center" vertical="top"/>
    </xf>
    <xf numFmtId="0" fontId="81" fillId="2" borderId="79" xfId="52385" applyFont="1" applyFill="1" applyBorder="1" applyAlignment="1">
      <alignment horizontal="center" vertical="top"/>
    </xf>
    <xf numFmtId="0" fontId="152" fillId="2" borderId="117" xfId="52385" applyFont="1" applyFill="1" applyBorder="1" applyAlignment="1">
      <alignment horizontal="center" vertical="top"/>
    </xf>
    <xf numFmtId="0" fontId="152" fillId="2" borderId="79" xfId="52385" applyFont="1" applyFill="1" applyBorder="1" applyAlignment="1">
      <alignment horizontal="center" vertical="top"/>
    </xf>
    <xf numFmtId="2" fontId="152" fillId="2" borderId="117" xfId="52385" applyNumberFormat="1" applyFont="1" applyFill="1" applyBorder="1" applyAlignment="1">
      <alignment horizontal="center" vertical="top"/>
    </xf>
    <xf numFmtId="0" fontId="81" fillId="2" borderId="117" xfId="52385" applyFont="1" applyFill="1" applyBorder="1" applyAlignment="1">
      <alignment horizontal="left" vertical="top"/>
    </xf>
    <xf numFmtId="1" fontId="152" fillId="2" borderId="117" xfId="52385" applyNumberFormat="1" applyFont="1" applyFill="1" applyBorder="1" applyAlignment="1">
      <alignment horizontal="center" vertical="top"/>
    </xf>
    <xf numFmtId="1" fontId="152" fillId="2" borderId="79" xfId="52385" applyNumberFormat="1" applyFont="1" applyFill="1" applyBorder="1" applyAlignment="1">
      <alignment horizontal="center" vertical="top"/>
    </xf>
    <xf numFmtId="0" fontId="152" fillId="2" borderId="73" xfId="52362" applyFont="1" applyFill="1" applyBorder="1" applyAlignment="1">
      <alignment horizontal="center" vertical="top"/>
    </xf>
    <xf numFmtId="0" fontId="81" fillId="2" borderId="75" xfId="52385" applyFont="1" applyFill="1" applyBorder="1" applyAlignment="1">
      <alignment horizontal="center" wrapText="1"/>
    </xf>
    <xf numFmtId="0" fontId="81" fillId="2" borderId="0" xfId="52385" applyFont="1" applyFill="1" applyBorder="1" applyAlignment="1">
      <alignment horizontal="center" wrapText="1"/>
    </xf>
    <xf numFmtId="0" fontId="81" fillId="2" borderId="2" xfId="52385" applyFont="1" applyFill="1" applyBorder="1" applyAlignment="1">
      <alignment horizontal="center" wrapText="1"/>
    </xf>
    <xf numFmtId="0" fontId="152" fillId="2" borderId="72" xfId="52385" applyFont="1" applyFill="1" applyBorder="1" applyAlignment="1">
      <alignment horizontal="center" vertical="center"/>
    </xf>
    <xf numFmtId="0" fontId="152" fillId="2" borderId="81" xfId="52385" applyFont="1" applyFill="1" applyBorder="1" applyAlignment="1">
      <alignment horizontal="center" vertical="center"/>
    </xf>
    <xf numFmtId="0" fontId="152" fillId="2" borderId="82" xfId="52385" applyFont="1" applyFill="1" applyBorder="1" applyAlignment="1">
      <alignment horizontal="center" vertical="center"/>
    </xf>
    <xf numFmtId="0" fontId="81" fillId="2" borderId="65" xfId="52385" applyFont="1" applyFill="1" applyBorder="1" applyAlignment="1">
      <alignment horizontal="center" vertical="center" wrapText="1"/>
    </xf>
    <xf numFmtId="0" fontId="81" fillId="2" borderId="0" xfId="52385" applyFont="1" applyFill="1" applyBorder="1" applyAlignment="1">
      <alignment horizontal="center" vertical="center" wrapText="1"/>
    </xf>
    <xf numFmtId="0" fontId="81" fillId="2" borderId="2" xfId="52385" applyFont="1" applyFill="1" applyBorder="1" applyAlignment="1">
      <alignment horizontal="center" vertical="center" wrapText="1"/>
    </xf>
    <xf numFmtId="0" fontId="152" fillId="2" borderId="86" xfId="52385" applyFont="1" applyFill="1" applyBorder="1" applyAlignment="1">
      <alignment horizontal="center" vertical="top"/>
    </xf>
    <xf numFmtId="0" fontId="152" fillId="2" borderId="82" xfId="52385" applyFont="1" applyFill="1" applyBorder="1" applyAlignment="1">
      <alignment horizontal="center" vertical="top"/>
    </xf>
    <xf numFmtId="2" fontId="152" fillId="2" borderId="72" xfId="52385" applyNumberFormat="1" applyFont="1" applyFill="1" applyBorder="1" applyAlignment="1">
      <alignment horizontal="center" vertical="top"/>
    </xf>
    <xf numFmtId="0" fontId="152" fillId="2" borderId="72" xfId="52385" applyFont="1" applyFill="1" applyBorder="1" applyAlignment="1">
      <alignment horizontal="center" vertical="top"/>
    </xf>
    <xf numFmtId="0" fontId="81" fillId="2" borderId="76" xfId="52385" applyFont="1" applyFill="1" applyBorder="1" applyAlignment="1">
      <alignment horizontal="center" vertical="center" wrapText="1"/>
    </xf>
    <xf numFmtId="0" fontId="81" fillId="2" borderId="0" xfId="52385" applyFont="1" applyFill="1" applyBorder="1" applyAlignment="1">
      <alignment horizontal="center" vertical="top"/>
    </xf>
    <xf numFmtId="0" fontId="152" fillId="2" borderId="65" xfId="52385" applyFont="1" applyFill="1" applyBorder="1" applyAlignment="1">
      <alignment horizontal="center" vertical="top"/>
    </xf>
    <xf numFmtId="0" fontId="152" fillId="2" borderId="0" xfId="52385" applyFont="1" applyFill="1" applyBorder="1" applyAlignment="1">
      <alignment horizontal="center" vertical="top"/>
    </xf>
    <xf numFmtId="0" fontId="152" fillId="2" borderId="81" xfId="52385" applyFont="1" applyFill="1" applyBorder="1" applyAlignment="1">
      <alignment horizontal="center" vertical="top"/>
    </xf>
    <xf numFmtId="0" fontId="152" fillId="2" borderId="76" xfId="52385" applyFont="1" applyFill="1" applyBorder="1" applyAlignment="1">
      <alignment horizontal="center" vertical="top"/>
    </xf>
    <xf numFmtId="0" fontId="153" fillId="2" borderId="117" xfId="52385" applyFont="1" applyFill="1" applyBorder="1" applyAlignment="1">
      <alignment horizontal="center" vertical="top"/>
    </xf>
    <xf numFmtId="0" fontId="152" fillId="2" borderId="2" xfId="52385" applyFont="1" applyFill="1" applyBorder="1" applyAlignment="1">
      <alignment horizontal="center" vertical="top"/>
    </xf>
    <xf numFmtId="2" fontId="152" fillId="2" borderId="81" xfId="52385" applyNumberFormat="1" applyFont="1" applyFill="1" applyBorder="1" applyAlignment="1">
      <alignment horizontal="center" vertical="top"/>
    </xf>
    <xf numFmtId="2" fontId="152" fillId="2" borderId="82" xfId="52385" applyNumberFormat="1" applyFont="1" applyFill="1" applyBorder="1" applyAlignment="1">
      <alignment horizontal="center" vertical="top"/>
    </xf>
    <xf numFmtId="4" fontId="152" fillId="2" borderId="72" xfId="52385" applyNumberFormat="1" applyFont="1" applyFill="1" applyBorder="1" applyAlignment="1">
      <alignment horizontal="center" vertical="top"/>
    </xf>
    <xf numFmtId="0" fontId="81" fillId="2" borderId="65" xfId="52385" applyFont="1" applyFill="1" applyBorder="1" applyAlignment="1">
      <alignment horizontal="center" wrapText="1"/>
    </xf>
    <xf numFmtId="0" fontId="81" fillId="2" borderId="76" xfId="52385" applyFont="1" applyFill="1" applyBorder="1" applyAlignment="1">
      <alignment horizontal="center" wrapText="1"/>
    </xf>
    <xf numFmtId="0" fontId="148" fillId="2" borderId="0" xfId="52385" applyFont="1" applyFill="1" applyBorder="1" applyAlignment="1">
      <alignment horizontal="left" vertical="top"/>
    </xf>
    <xf numFmtId="0" fontId="81" fillId="2" borderId="0" xfId="52385" applyFont="1" applyFill="1" applyBorder="1" applyAlignment="1">
      <alignment horizontal="left" vertical="top"/>
    </xf>
    <xf numFmtId="17" fontId="81" fillId="2" borderId="0" xfId="52385" applyNumberFormat="1" applyFont="1" applyFill="1" applyBorder="1" applyAlignment="1">
      <alignment horizontal="left" vertical="top"/>
    </xf>
    <xf numFmtId="0" fontId="158" fillId="60" borderId="86" xfId="52385" applyFont="1" applyFill="1" applyBorder="1" applyAlignment="1">
      <alignment horizontal="center" vertical="top"/>
    </xf>
    <xf numFmtId="0" fontId="158" fillId="60" borderId="81" xfId="52385" applyFont="1" applyFill="1" applyBorder="1" applyAlignment="1">
      <alignment horizontal="center" vertical="top"/>
    </xf>
    <xf numFmtId="0" fontId="158" fillId="60" borderId="87" xfId="52385" applyFont="1" applyFill="1" applyBorder="1" applyAlignment="1">
      <alignment horizontal="center" vertical="top"/>
    </xf>
    <xf numFmtId="0" fontId="152" fillId="2" borderId="75" xfId="52385" applyFont="1" applyFill="1" applyBorder="1" applyAlignment="1">
      <alignment horizontal="center" vertical="top"/>
    </xf>
    <xf numFmtId="0" fontId="154" fillId="3" borderId="117" xfId="52385" applyFont="1" applyFill="1" applyBorder="1" applyAlignment="1">
      <alignment horizontal="center" vertical="center"/>
    </xf>
    <xf numFmtId="0" fontId="152" fillId="3" borderId="72" xfId="52385" applyFont="1" applyFill="1" applyBorder="1" applyAlignment="1">
      <alignment horizontal="center" vertical="top"/>
    </xf>
    <xf numFmtId="0" fontId="152" fillId="3" borderId="81" xfId="52385" applyFont="1" applyFill="1" applyBorder="1" applyAlignment="1">
      <alignment horizontal="center" vertical="top"/>
    </xf>
    <xf numFmtId="0" fontId="152" fillId="3" borderId="82" xfId="52385" applyFont="1" applyFill="1" applyBorder="1" applyAlignment="1">
      <alignment horizontal="center" vertical="top"/>
    </xf>
    <xf numFmtId="0" fontId="154" fillId="3" borderId="80" xfId="52385" applyFont="1" applyFill="1" applyBorder="1" applyAlignment="1">
      <alignment horizontal="center" vertical="center"/>
    </xf>
    <xf numFmtId="0" fontId="154" fillId="3" borderId="64" xfId="52385" applyFont="1" applyFill="1" applyBorder="1" applyAlignment="1">
      <alignment horizontal="center" vertical="center"/>
    </xf>
    <xf numFmtId="0" fontId="148" fillId="3" borderId="71" xfId="52385" applyFont="1" applyFill="1" applyBorder="1" applyAlignment="1">
      <alignment horizontal="center" vertical="center" wrapText="1"/>
    </xf>
    <xf numFmtId="0" fontId="154" fillId="3" borderId="71" xfId="52385" applyFont="1" applyFill="1" applyBorder="1" applyAlignment="1">
      <alignment horizontal="center" vertical="center" wrapText="1"/>
    </xf>
    <xf numFmtId="0" fontId="154" fillId="3" borderId="71" xfId="52385" applyFont="1" applyFill="1" applyBorder="1" applyAlignment="1">
      <alignment horizontal="center" vertical="center"/>
    </xf>
    <xf numFmtId="0" fontId="81" fillId="0" borderId="65" xfId="52385" applyFont="1" applyBorder="1" applyAlignment="1">
      <alignment horizontal="left" vertical="top" wrapText="1"/>
    </xf>
    <xf numFmtId="0" fontId="81" fillId="0" borderId="0" xfId="52385" applyFont="1" applyAlignment="1">
      <alignment horizontal="left" vertical="top" wrapText="1"/>
    </xf>
    <xf numFmtId="0" fontId="81" fillId="0" borderId="2" xfId="52385" applyFont="1" applyBorder="1" applyAlignment="1">
      <alignment horizontal="left" vertical="top" wrapText="1"/>
    </xf>
    <xf numFmtId="0" fontId="81" fillId="0" borderId="3" xfId="52385" applyFont="1" applyBorder="1" applyAlignment="1">
      <alignment horizontal="left" vertical="top"/>
    </xf>
    <xf numFmtId="0" fontId="81" fillId="0" borderId="47" xfId="52385" applyFont="1" applyBorder="1" applyAlignment="1">
      <alignment horizontal="left" vertical="top"/>
    </xf>
    <xf numFmtId="0" fontId="81" fillId="0" borderId="67" xfId="52385" applyFont="1" applyBorder="1" applyAlignment="1">
      <alignment horizontal="left" vertical="top"/>
    </xf>
    <xf numFmtId="0" fontId="154" fillId="3" borderId="72" xfId="52385" applyFont="1" applyFill="1" applyBorder="1" applyAlignment="1">
      <alignment horizontal="center" vertical="center"/>
    </xf>
    <xf numFmtId="0" fontId="154" fillId="3" borderId="81" xfId="52385" applyFont="1" applyFill="1" applyBorder="1" applyAlignment="1">
      <alignment horizontal="center" vertical="center"/>
    </xf>
    <xf numFmtId="0" fontId="154" fillId="3" borderId="82" xfId="52385" applyFont="1" applyFill="1" applyBorder="1" applyAlignment="1">
      <alignment horizontal="center" vertical="center"/>
    </xf>
    <xf numFmtId="0" fontId="154" fillId="3" borderId="72" xfId="52385" applyFont="1" applyFill="1" applyBorder="1" applyAlignment="1">
      <alignment horizontal="center" vertical="top"/>
    </xf>
    <xf numFmtId="0" fontId="154" fillId="3" borderId="81" xfId="52385" applyFont="1" applyFill="1" applyBorder="1" applyAlignment="1">
      <alignment horizontal="center" vertical="top"/>
    </xf>
    <xf numFmtId="0" fontId="154" fillId="3" borderId="82" xfId="52385" applyFont="1" applyFill="1" applyBorder="1" applyAlignment="1">
      <alignment horizontal="center" vertical="top"/>
    </xf>
    <xf numFmtId="0" fontId="148" fillId="3" borderId="71" xfId="52385" applyFont="1" applyFill="1" applyBorder="1" applyAlignment="1">
      <alignment horizontal="center" vertical="top"/>
    </xf>
    <xf numFmtId="0" fontId="154" fillId="3" borderId="71" xfId="52385" applyFont="1" applyFill="1" applyBorder="1" applyAlignment="1">
      <alignment horizontal="center" vertical="top"/>
    </xf>
    <xf numFmtId="0" fontId="148" fillId="3" borderId="80" xfId="52385" applyFont="1" applyFill="1" applyBorder="1" applyAlignment="1">
      <alignment horizontal="center" vertical="center" wrapText="1"/>
    </xf>
    <xf numFmtId="0" fontId="148" fillId="3" borderId="70" xfId="52385" applyFont="1" applyFill="1" applyBorder="1" applyAlignment="1">
      <alignment horizontal="center" vertical="center" wrapText="1"/>
    </xf>
    <xf numFmtId="0" fontId="148" fillId="3" borderId="64" xfId="52385" applyFont="1" applyFill="1" applyBorder="1" applyAlignment="1">
      <alignment horizontal="center" vertical="center" wrapText="1"/>
    </xf>
    <xf numFmtId="0" fontId="148" fillId="3" borderId="72" xfId="52385" applyFont="1" applyFill="1" applyBorder="1" applyAlignment="1">
      <alignment horizontal="center" vertical="center"/>
    </xf>
    <xf numFmtId="0" fontId="148" fillId="3" borderId="82" xfId="52385" applyFont="1" applyFill="1" applyBorder="1" applyAlignment="1">
      <alignment horizontal="center" vertical="center"/>
    </xf>
    <xf numFmtId="0" fontId="154" fillId="3" borderId="80" xfId="52385" applyFont="1" applyFill="1" applyBorder="1" applyAlignment="1">
      <alignment horizontal="center" vertical="center" wrapText="1"/>
    </xf>
    <xf numFmtId="0" fontId="154" fillId="3" borderId="70" xfId="52385" applyFont="1" applyFill="1" applyBorder="1" applyAlignment="1">
      <alignment horizontal="center" vertical="center" wrapText="1"/>
    </xf>
    <xf numFmtId="0" fontId="154" fillId="3" borderId="64" xfId="52385" applyFont="1" applyFill="1" applyBorder="1" applyAlignment="1">
      <alignment horizontal="center" vertical="center" wrapText="1"/>
    </xf>
    <xf numFmtId="0" fontId="148" fillId="3" borderId="117" xfId="52385" applyFont="1" applyFill="1" applyBorder="1" applyAlignment="1">
      <alignment horizontal="center" vertical="center" wrapText="1"/>
    </xf>
    <xf numFmtId="0" fontId="81" fillId="0" borderId="3" xfId="52385" applyFont="1" applyBorder="1" applyAlignment="1">
      <alignment horizontal="left" vertical="top" wrapText="1"/>
    </xf>
    <xf numFmtId="0" fontId="81" fillId="0" borderId="47" xfId="52385" applyFont="1" applyBorder="1" applyAlignment="1">
      <alignment horizontal="left" vertical="top" wrapText="1"/>
    </xf>
    <xf numFmtId="0" fontId="81" fillId="0" borderId="67" xfId="52385" applyFont="1" applyBorder="1" applyAlignment="1">
      <alignment horizontal="left" vertical="top" wrapText="1"/>
    </xf>
    <xf numFmtId="0" fontId="81" fillId="0" borderId="73" xfId="52385" applyFont="1" applyBorder="1" applyAlignment="1">
      <alignment horizontal="left" vertical="top" wrapText="1"/>
    </xf>
    <xf numFmtId="0" fontId="81" fillId="0" borderId="115" xfId="52385" applyFont="1" applyBorder="1" applyAlignment="1">
      <alignment horizontal="left" vertical="top" wrapText="1"/>
    </xf>
    <xf numFmtId="0" fontId="81" fillId="0" borderId="74" xfId="52385" applyFont="1" applyBorder="1" applyAlignment="1">
      <alignment horizontal="left" vertical="top" wrapText="1"/>
    </xf>
    <xf numFmtId="205" fontId="81" fillId="0" borderId="0" xfId="52385" applyNumberFormat="1" applyFont="1" applyAlignment="1">
      <alignment horizontal="left" vertical="top" wrapText="1"/>
    </xf>
    <xf numFmtId="205" fontId="152" fillId="3" borderId="81" xfId="52385" applyNumberFormat="1" applyFont="1" applyFill="1" applyBorder="1" applyAlignment="1">
      <alignment horizontal="center" vertical="top"/>
    </xf>
    <xf numFmtId="0" fontId="81" fillId="0" borderId="66" xfId="52385" applyFont="1" applyBorder="1" applyAlignment="1">
      <alignment horizontal="left" vertical="top" wrapText="1"/>
    </xf>
    <xf numFmtId="205" fontId="81" fillId="0" borderId="66" xfId="52385" applyNumberFormat="1" applyFont="1" applyBorder="1" applyAlignment="1">
      <alignment horizontal="left" vertical="top" wrapText="1"/>
    </xf>
    <xf numFmtId="205" fontId="81" fillId="0" borderId="47" xfId="52385" applyNumberFormat="1" applyFont="1" applyBorder="1" applyAlignment="1">
      <alignment horizontal="left" vertical="top" wrapText="1"/>
    </xf>
    <xf numFmtId="0" fontId="154" fillId="3" borderId="3" xfId="52385" applyFont="1" applyFill="1" applyBorder="1" applyAlignment="1">
      <alignment horizontal="center" vertical="center"/>
    </xf>
    <xf numFmtId="0" fontId="154" fillId="3" borderId="47" xfId="52385" applyFont="1" applyFill="1" applyBorder="1" applyAlignment="1">
      <alignment horizontal="center" vertical="center"/>
    </xf>
    <xf numFmtId="205" fontId="154" fillId="3" borderId="47" xfId="52385" applyNumberFormat="1" applyFont="1" applyFill="1" applyBorder="1" applyAlignment="1">
      <alignment horizontal="center" vertical="center"/>
    </xf>
    <xf numFmtId="205" fontId="154" fillId="3" borderId="81" xfId="52385" applyNumberFormat="1" applyFont="1" applyFill="1" applyBorder="1" applyAlignment="1">
      <alignment horizontal="center" vertical="center"/>
    </xf>
    <xf numFmtId="205" fontId="154" fillId="3" borderId="80" xfId="52385" applyNumberFormat="1" applyFont="1" applyFill="1" applyBorder="1" applyAlignment="1">
      <alignment horizontal="center" vertical="center"/>
    </xf>
    <xf numFmtId="205" fontId="154" fillId="3" borderId="64" xfId="52385" applyNumberFormat="1" applyFont="1" applyFill="1" applyBorder="1" applyAlignment="1">
      <alignment horizontal="center" vertical="center"/>
    </xf>
    <xf numFmtId="0" fontId="81" fillId="0" borderId="0" xfId="52385" applyFont="1" applyBorder="1" applyAlignment="1">
      <alignment horizontal="left" vertical="top" wrapText="1"/>
    </xf>
    <xf numFmtId="0" fontId="152" fillId="3" borderId="72" xfId="52385" applyFont="1" applyFill="1" applyBorder="1" applyAlignment="1">
      <alignment horizontal="center" vertical="center" wrapText="1"/>
    </xf>
    <xf numFmtId="0" fontId="152" fillId="3" borderId="81" xfId="52385" applyFont="1" applyFill="1" applyBorder="1" applyAlignment="1">
      <alignment horizontal="center" vertical="center"/>
    </xf>
    <xf numFmtId="0" fontId="152" fillId="3" borderId="82" xfId="52385" applyFont="1" applyFill="1" applyBorder="1" applyAlignment="1">
      <alignment horizontal="center" vertical="center"/>
    </xf>
    <xf numFmtId="0" fontId="148" fillId="3" borderId="74" xfId="52385" applyFont="1" applyFill="1" applyBorder="1" applyAlignment="1">
      <alignment horizontal="center" vertical="center" wrapText="1"/>
    </xf>
    <xf numFmtId="0" fontId="148" fillId="3" borderId="2" xfId="52385" applyFont="1" applyFill="1" applyBorder="1" applyAlignment="1">
      <alignment horizontal="center" vertical="center" wrapText="1"/>
    </xf>
    <xf numFmtId="0" fontId="148" fillId="3" borderId="67" xfId="52385" applyFont="1" applyFill="1" applyBorder="1" applyAlignment="1">
      <alignment horizontal="center" vertical="center" wrapText="1"/>
    </xf>
    <xf numFmtId="0" fontId="152" fillId="3" borderId="72" xfId="52385" applyFont="1" applyFill="1" applyBorder="1" applyAlignment="1">
      <alignment horizontal="center" vertical="top" wrapText="1"/>
    </xf>
    <xf numFmtId="0" fontId="154" fillId="3" borderId="80" xfId="52362" applyFont="1" applyFill="1" applyBorder="1" applyAlignment="1">
      <alignment horizontal="center" vertical="center"/>
    </xf>
    <xf numFmtId="0" fontId="154" fillId="3" borderId="64" xfId="52362" applyFont="1" applyFill="1" applyBorder="1" applyAlignment="1">
      <alignment horizontal="center" vertical="center"/>
    </xf>
    <xf numFmtId="0" fontId="154" fillId="3" borderId="72" xfId="52362" applyFont="1" applyFill="1" applyBorder="1" applyAlignment="1">
      <alignment horizontal="center" vertical="center"/>
    </xf>
    <xf numFmtId="0" fontId="154" fillId="3" borderId="81" xfId="52362" applyFont="1" applyFill="1" applyBorder="1" applyAlignment="1">
      <alignment horizontal="center" vertical="center"/>
    </xf>
    <xf numFmtId="0" fontId="154" fillId="3" borderId="82" xfId="52362" applyFont="1" applyFill="1" applyBorder="1" applyAlignment="1">
      <alignment horizontal="center" vertical="center"/>
    </xf>
    <xf numFmtId="0" fontId="148" fillId="3" borderId="80" xfId="52362" applyFont="1" applyFill="1" applyBorder="1" applyAlignment="1">
      <alignment horizontal="center" vertical="center" wrapText="1"/>
    </xf>
    <xf numFmtId="0" fontId="148" fillId="3" borderId="70" xfId="52362" applyFont="1" applyFill="1" applyBorder="1" applyAlignment="1">
      <alignment horizontal="center" vertical="center" wrapText="1"/>
    </xf>
    <xf numFmtId="0" fontId="148" fillId="3" borderId="64" xfId="52362" applyFont="1" applyFill="1" applyBorder="1" applyAlignment="1">
      <alignment horizontal="center" vertical="center" wrapText="1"/>
    </xf>
    <xf numFmtId="0" fontId="154" fillId="3" borderId="80" xfId="52362" applyFont="1" applyFill="1" applyBorder="1" applyAlignment="1">
      <alignment horizontal="center" vertical="center" wrapText="1"/>
    </xf>
    <xf numFmtId="0" fontId="154" fillId="3" borderId="70" xfId="52362" applyFont="1" applyFill="1" applyBorder="1" applyAlignment="1">
      <alignment horizontal="center" vertical="center" wrapText="1"/>
    </xf>
    <xf numFmtId="0" fontId="154" fillId="3" borderId="64" xfId="52362" applyFont="1" applyFill="1" applyBorder="1" applyAlignment="1">
      <alignment horizontal="center" vertical="center" wrapText="1"/>
    </xf>
    <xf numFmtId="0" fontId="154" fillId="3" borderId="71" xfId="52362" applyFont="1" applyFill="1" applyBorder="1" applyAlignment="1">
      <alignment horizontal="center" vertical="center"/>
    </xf>
    <xf numFmtId="0" fontId="81" fillId="0" borderId="65" xfId="52362" applyBorder="1" applyAlignment="1">
      <alignment horizontal="left" vertical="top" wrapText="1"/>
    </xf>
    <xf numFmtId="0" fontId="81" fillId="0" borderId="0" xfId="52362" applyAlignment="1">
      <alignment horizontal="left" vertical="top" wrapText="1"/>
    </xf>
    <xf numFmtId="0" fontId="81" fillId="0" borderId="2" xfId="52362" applyBorder="1" applyAlignment="1">
      <alignment horizontal="left" vertical="top" wrapText="1"/>
    </xf>
    <xf numFmtId="0" fontId="152" fillId="3" borderId="72" xfId="52362" applyFont="1" applyFill="1" applyBorder="1" applyAlignment="1">
      <alignment horizontal="center" vertical="top" wrapText="1"/>
    </xf>
    <xf numFmtId="0" fontId="152" fillId="3" borderId="81" xfId="52362" applyFont="1" applyFill="1" applyBorder="1" applyAlignment="1">
      <alignment horizontal="center" vertical="top"/>
    </xf>
    <xf numFmtId="0" fontId="152" fillId="3" borderId="82" xfId="52362" applyFont="1" applyFill="1" applyBorder="1" applyAlignment="1">
      <alignment horizontal="center" vertical="top"/>
    </xf>
    <xf numFmtId="0" fontId="81" fillId="0" borderId="73" xfId="52362" applyBorder="1" applyAlignment="1">
      <alignment horizontal="left" vertical="top" wrapText="1"/>
    </xf>
    <xf numFmtId="0" fontId="81" fillId="0" borderId="66" xfId="52362" applyBorder="1" applyAlignment="1">
      <alignment horizontal="left" vertical="top" wrapText="1"/>
    </xf>
    <xf numFmtId="0" fontId="81" fillId="0" borderId="74" xfId="52362" applyBorder="1" applyAlignment="1">
      <alignment horizontal="left" vertical="top" wrapText="1"/>
    </xf>
    <xf numFmtId="0" fontId="152" fillId="3" borderId="81" xfId="52385" applyFont="1" applyFill="1" applyBorder="1" applyAlignment="1">
      <alignment horizontal="center" vertical="top" wrapText="1"/>
    </xf>
    <xf numFmtId="0" fontId="152" fillId="3" borderId="82" xfId="52385" applyFont="1" applyFill="1" applyBorder="1" applyAlignment="1">
      <alignment horizontal="center" vertical="top" wrapText="1"/>
    </xf>
    <xf numFmtId="0" fontId="148" fillId="3" borderId="72" xfId="52385" applyFont="1" applyFill="1" applyBorder="1" applyAlignment="1">
      <alignment horizontal="center" vertical="center" wrapText="1"/>
    </xf>
    <xf numFmtId="0" fontId="148" fillId="3" borderId="81" xfId="52385" applyFont="1" applyFill="1" applyBorder="1" applyAlignment="1">
      <alignment horizontal="center" vertical="center" wrapText="1"/>
    </xf>
    <xf numFmtId="0" fontId="148" fillId="3" borderId="82" xfId="52385" applyFont="1" applyFill="1" applyBorder="1" applyAlignment="1">
      <alignment horizontal="center" vertical="center" wrapText="1"/>
    </xf>
    <xf numFmtId="0" fontId="154" fillId="3" borderId="73" xfId="52385" applyFont="1" applyFill="1" applyBorder="1" applyAlignment="1">
      <alignment horizontal="center" vertical="center" wrapText="1"/>
    </xf>
    <xf numFmtId="0" fontId="154" fillId="3" borderId="74" xfId="52385" applyFont="1" applyFill="1" applyBorder="1" applyAlignment="1">
      <alignment horizontal="center" vertical="center" wrapText="1"/>
    </xf>
    <xf numFmtId="0" fontId="154" fillId="3" borderId="65" xfId="52385" applyFont="1" applyFill="1" applyBorder="1" applyAlignment="1">
      <alignment horizontal="center" vertical="center" wrapText="1"/>
    </xf>
    <xf numFmtId="0" fontId="154" fillId="3" borderId="2" xfId="52385" applyFont="1" applyFill="1" applyBorder="1" applyAlignment="1">
      <alignment horizontal="center" vertical="center" wrapText="1"/>
    </xf>
    <xf numFmtId="0" fontId="154" fillId="3" borderId="3" xfId="52385" applyFont="1" applyFill="1" applyBorder="1" applyAlignment="1">
      <alignment horizontal="center" vertical="center" wrapText="1"/>
    </xf>
    <xf numFmtId="0" fontId="154" fillId="3" borderId="67" xfId="52385" applyFont="1" applyFill="1" applyBorder="1" applyAlignment="1">
      <alignment horizontal="center" vertical="center" wrapText="1"/>
    </xf>
    <xf numFmtId="0" fontId="81" fillId="0" borderId="72" xfId="52385" applyFont="1" applyBorder="1" applyAlignment="1">
      <alignment horizontal="left" vertical="top" wrapText="1"/>
    </xf>
    <xf numFmtId="0" fontId="81" fillId="0" borderId="81" xfId="52385" applyFont="1" applyBorder="1" applyAlignment="1">
      <alignment horizontal="left" vertical="top" wrapText="1"/>
    </xf>
    <xf numFmtId="0" fontId="81" fillId="0" borderId="82" xfId="52385" applyFont="1" applyBorder="1" applyAlignment="1">
      <alignment horizontal="left" vertical="top" wrapText="1"/>
    </xf>
    <xf numFmtId="0" fontId="154" fillId="3" borderId="117" xfId="52362" applyFont="1" applyFill="1" applyBorder="1" applyAlignment="1">
      <alignment horizontal="center" vertical="center"/>
    </xf>
    <xf numFmtId="206" fontId="154" fillId="3" borderId="72" xfId="52385" applyNumberFormat="1" applyFont="1" applyFill="1" applyBorder="1" applyAlignment="1">
      <alignment horizontal="center" vertical="center" wrapText="1"/>
    </xf>
    <xf numFmtId="2" fontId="154" fillId="3" borderId="82" xfId="52385" applyNumberFormat="1" applyFont="1" applyFill="1" applyBorder="1" applyAlignment="1">
      <alignment horizontal="center" vertical="center" wrapText="1"/>
    </xf>
    <xf numFmtId="0" fontId="154" fillId="3" borderId="72" xfId="52385" applyFont="1" applyFill="1" applyBorder="1" applyAlignment="1">
      <alignment horizontal="center" vertical="center" wrapText="1"/>
    </xf>
    <xf numFmtId="206" fontId="154" fillId="3" borderId="81" xfId="52385" applyNumberFormat="1" applyFont="1" applyFill="1" applyBorder="1" applyAlignment="1">
      <alignment horizontal="center" vertical="center" wrapText="1"/>
    </xf>
    <xf numFmtId="0" fontId="95" fillId="0" borderId="65" xfId="52385" applyFont="1" applyBorder="1" applyAlignment="1">
      <alignment horizontal="left" vertical="top" wrapText="1"/>
    </xf>
    <xf numFmtId="0" fontId="95" fillId="0" borderId="0" xfId="52385" applyFont="1" applyBorder="1" applyAlignment="1">
      <alignment horizontal="left" vertical="top" wrapText="1"/>
    </xf>
    <xf numFmtId="206" fontId="95" fillId="0" borderId="0" xfId="52385" applyNumberFormat="1" applyFont="1" applyBorder="1" applyAlignment="1">
      <alignment horizontal="left" vertical="top" wrapText="1"/>
    </xf>
    <xf numFmtId="2" fontId="95" fillId="0" borderId="0" xfId="52385" applyNumberFormat="1" applyFont="1" applyBorder="1" applyAlignment="1">
      <alignment horizontal="left" vertical="top" wrapText="1"/>
    </xf>
    <xf numFmtId="0" fontId="95" fillId="0" borderId="2" xfId="52385" applyFont="1" applyBorder="1" applyAlignment="1">
      <alignment horizontal="left" vertical="top" wrapText="1"/>
    </xf>
    <xf numFmtId="206" fontId="154" fillId="3" borderId="81" xfId="52385" applyNumberFormat="1" applyFont="1" applyFill="1" applyBorder="1" applyAlignment="1">
      <alignment horizontal="center" vertical="center"/>
    </xf>
    <xf numFmtId="2" fontId="154" fillId="3" borderId="81" xfId="52385" applyNumberFormat="1" applyFont="1" applyFill="1" applyBorder="1" applyAlignment="1">
      <alignment horizontal="center" vertical="center"/>
    </xf>
    <xf numFmtId="0" fontId="155" fillId="3" borderId="72" xfId="52385" applyFont="1" applyFill="1" applyBorder="1" applyAlignment="1">
      <alignment horizontal="center" vertical="top" wrapText="1"/>
    </xf>
    <xf numFmtId="0" fontId="155" fillId="3" borderId="81" xfId="52385" applyFont="1" applyFill="1" applyBorder="1" applyAlignment="1">
      <alignment horizontal="center" vertical="top" wrapText="1"/>
    </xf>
    <xf numFmtId="206" fontId="155" fillId="3" borderId="81" xfId="52385" applyNumberFormat="1" applyFont="1" applyFill="1" applyBorder="1" applyAlignment="1">
      <alignment horizontal="center" vertical="top" wrapText="1"/>
    </xf>
    <xf numFmtId="2" fontId="155" fillId="3" borderId="81" xfId="52385" applyNumberFormat="1" applyFont="1" applyFill="1" applyBorder="1" applyAlignment="1">
      <alignment horizontal="center" vertical="top" wrapText="1"/>
    </xf>
    <xf numFmtId="0" fontId="155" fillId="3" borderId="82" xfId="52385" applyFont="1" applyFill="1" applyBorder="1" applyAlignment="1">
      <alignment horizontal="center" vertical="top" wrapText="1"/>
    </xf>
    <xf numFmtId="0" fontId="95" fillId="0" borderId="73" xfId="52385" applyFont="1" applyBorder="1" applyAlignment="1">
      <alignment horizontal="left" vertical="top" wrapText="1"/>
    </xf>
    <xf numFmtId="0" fontId="95" fillId="0" borderId="115" xfId="52385" applyFont="1" applyBorder="1" applyAlignment="1">
      <alignment horizontal="left" vertical="top" wrapText="1"/>
    </xf>
    <xf numFmtId="206" fontId="95" fillId="0" borderId="115" xfId="52385" applyNumberFormat="1" applyFont="1" applyBorder="1" applyAlignment="1">
      <alignment horizontal="left" vertical="top" wrapText="1"/>
    </xf>
    <xf numFmtId="2" fontId="95" fillId="0" borderId="115" xfId="52385" applyNumberFormat="1" applyFont="1" applyBorder="1" applyAlignment="1">
      <alignment horizontal="left" vertical="top" wrapText="1"/>
    </xf>
    <xf numFmtId="0" fontId="95" fillId="0" borderId="74" xfId="52385" applyFont="1" applyBorder="1" applyAlignment="1">
      <alignment horizontal="left" vertical="top" wrapText="1"/>
    </xf>
    <xf numFmtId="0" fontId="148" fillId="3" borderId="73" xfId="52385" applyFont="1" applyFill="1" applyBorder="1" applyAlignment="1">
      <alignment horizontal="center" vertical="center" wrapText="1"/>
    </xf>
    <xf numFmtId="0" fontId="148" fillId="3" borderId="115" xfId="52385" applyFont="1" applyFill="1" applyBorder="1" applyAlignment="1">
      <alignment horizontal="center" vertical="center" wrapText="1"/>
    </xf>
    <xf numFmtId="0" fontId="148" fillId="3" borderId="3" xfId="52385" applyFont="1" applyFill="1" applyBorder="1" applyAlignment="1">
      <alignment horizontal="center" vertical="center" wrapText="1"/>
    </xf>
    <xf numFmtId="0" fontId="148" fillId="3" borderId="47" xfId="52385" applyFont="1" applyFill="1" applyBorder="1" applyAlignment="1">
      <alignment horizontal="center" vertical="center" wrapText="1"/>
    </xf>
    <xf numFmtId="0" fontId="152" fillId="60" borderId="72" xfId="52385" applyFont="1" applyFill="1" applyBorder="1" applyAlignment="1">
      <alignment horizontal="center" vertical="top" wrapText="1"/>
    </xf>
    <xf numFmtId="0" fontId="152" fillId="60" borderId="81" xfId="52385" applyFont="1" applyFill="1" applyBorder="1" applyAlignment="1">
      <alignment horizontal="center" vertical="top" wrapText="1"/>
    </xf>
    <xf numFmtId="0" fontId="152" fillId="60" borderId="82" xfId="52385" applyFont="1" applyFill="1" applyBorder="1" applyAlignment="1">
      <alignment horizontal="center" vertical="top" wrapText="1"/>
    </xf>
    <xf numFmtId="0" fontId="81" fillId="0" borderId="65" xfId="52362" applyBorder="1" applyAlignment="1">
      <alignment horizontal="center" vertical="center" wrapText="1"/>
    </xf>
    <xf numFmtId="0" fontId="148" fillId="3" borderId="74" xfId="52362" applyFont="1" applyFill="1" applyBorder="1" applyAlignment="1">
      <alignment horizontal="center" vertical="center" wrapText="1"/>
    </xf>
    <xf numFmtId="0" fontId="148" fillId="3" borderId="2" xfId="52362" applyFont="1" applyFill="1" applyBorder="1" applyAlignment="1">
      <alignment horizontal="center" vertical="center" wrapText="1"/>
    </xf>
    <xf numFmtId="0" fontId="148" fillId="3" borderId="67" xfId="52362" applyFont="1" applyFill="1" applyBorder="1" applyAlignment="1">
      <alignment horizontal="center" vertical="center" wrapText="1"/>
    </xf>
    <xf numFmtId="2" fontId="154" fillId="3" borderId="80" xfId="52362" applyNumberFormat="1" applyFont="1" applyFill="1" applyBorder="1" applyAlignment="1">
      <alignment horizontal="center" vertical="center" wrapText="1"/>
    </xf>
    <xf numFmtId="2" fontId="154" fillId="3" borderId="70" xfId="52362" applyNumberFormat="1" applyFont="1" applyFill="1" applyBorder="1" applyAlignment="1">
      <alignment horizontal="center" vertical="center" wrapText="1"/>
    </xf>
    <xf numFmtId="2" fontId="154" fillId="3" borderId="64" xfId="52362" applyNumberFormat="1" applyFont="1" applyFill="1" applyBorder="1" applyAlignment="1">
      <alignment horizontal="center" vertical="center" wrapText="1"/>
    </xf>
    <xf numFmtId="205" fontId="154" fillId="3" borderId="80" xfId="52362" applyNumberFormat="1" applyFont="1" applyFill="1" applyBorder="1" applyAlignment="1">
      <alignment horizontal="center" vertical="center"/>
    </xf>
    <xf numFmtId="205" fontId="154" fillId="3" borderId="64" xfId="52362" applyNumberFormat="1" applyFont="1" applyFill="1" applyBorder="1" applyAlignment="1">
      <alignment horizontal="center" vertical="center"/>
    </xf>
    <xf numFmtId="0" fontId="152" fillId="3" borderId="72" xfId="52362" applyFont="1" applyFill="1" applyBorder="1" applyAlignment="1">
      <alignment horizontal="center" vertical="center" wrapText="1"/>
    </xf>
    <xf numFmtId="0" fontId="152" fillId="3" borderId="81" xfId="52362" applyFont="1" applyFill="1" applyBorder="1" applyAlignment="1">
      <alignment horizontal="center" vertical="center" wrapText="1"/>
    </xf>
    <xf numFmtId="0" fontId="150" fillId="0" borderId="86" xfId="52203" applyFont="1" applyBorder="1" applyAlignment="1">
      <alignment horizontal="right" vertical="center" wrapText="1"/>
    </xf>
    <xf numFmtId="0" fontId="150" fillId="0" borderId="81" xfId="52203" applyFont="1" applyBorder="1" applyAlignment="1">
      <alignment horizontal="right" vertical="center" wrapText="1"/>
    </xf>
    <xf numFmtId="0" fontId="150" fillId="0" borderId="109" xfId="52203" applyFont="1" applyBorder="1" applyAlignment="1">
      <alignment horizontal="right" vertical="center"/>
    </xf>
    <xf numFmtId="0" fontId="150" fillId="0" borderId="112" xfId="52203" applyFont="1" applyBorder="1" applyAlignment="1">
      <alignment horizontal="right" vertical="center"/>
    </xf>
    <xf numFmtId="0" fontId="149" fillId="0" borderId="88" xfId="52203" applyFont="1" applyBorder="1" applyAlignment="1">
      <alignment horizontal="center" vertical="center" wrapText="1"/>
    </xf>
    <xf numFmtId="0" fontId="149" fillId="0" borderId="100" xfId="52203" applyFont="1" applyBorder="1" applyAlignment="1">
      <alignment horizontal="center" vertical="center" wrapText="1"/>
    </xf>
    <xf numFmtId="0" fontId="149" fillId="0" borderId="84" xfId="52203" applyFont="1" applyBorder="1" applyAlignment="1">
      <alignment horizontal="center" vertical="center" wrapText="1"/>
    </xf>
    <xf numFmtId="0" fontId="149" fillId="0" borderId="80" xfId="52203" applyFont="1" applyBorder="1" applyAlignment="1">
      <alignment horizontal="center" vertical="center" wrapText="1"/>
    </xf>
    <xf numFmtId="0" fontId="149" fillId="0" borderId="70" xfId="52203" applyFont="1" applyBorder="1" applyAlignment="1">
      <alignment horizontal="center" vertical="center" wrapText="1"/>
    </xf>
    <xf numFmtId="0" fontId="149" fillId="0" borderId="64" xfId="52203" applyFont="1" applyBorder="1" applyAlignment="1">
      <alignment horizontal="center" vertical="center" wrapText="1"/>
    </xf>
    <xf numFmtId="2" fontId="149" fillId="0" borderId="73" xfId="52203" applyNumberFormat="1" applyFont="1" applyBorder="1" applyAlignment="1">
      <alignment horizontal="center" vertical="center" wrapText="1"/>
    </xf>
    <xf numFmtId="2" fontId="149" fillId="0" borderId="74" xfId="52203" applyNumberFormat="1" applyFont="1" applyBorder="1" applyAlignment="1">
      <alignment horizontal="center" vertical="center" wrapText="1"/>
    </xf>
    <xf numFmtId="2" fontId="149" fillId="0" borderId="65" xfId="52203" applyNumberFormat="1" applyFont="1" applyBorder="1" applyAlignment="1">
      <alignment horizontal="center" vertical="center" wrapText="1"/>
    </xf>
    <xf numFmtId="2" fontId="149" fillId="0" borderId="2" xfId="52203" applyNumberFormat="1" applyFont="1" applyBorder="1" applyAlignment="1">
      <alignment horizontal="center" vertical="center" wrapText="1"/>
    </xf>
    <xf numFmtId="2" fontId="149" fillId="0" borderId="3" xfId="52203" applyNumberFormat="1" applyFont="1" applyBorder="1" applyAlignment="1">
      <alignment horizontal="center" vertical="center" wrapText="1"/>
    </xf>
    <xf numFmtId="2" fontId="149" fillId="0" borderId="67" xfId="52203" applyNumberFormat="1" applyFont="1" applyBorder="1" applyAlignment="1">
      <alignment horizontal="center" vertical="center" wrapText="1"/>
    </xf>
    <xf numFmtId="0" fontId="149" fillId="0" borderId="80" xfId="52385" applyFont="1" applyBorder="1" applyAlignment="1">
      <alignment horizontal="center" vertical="center" wrapText="1"/>
    </xf>
    <xf numFmtId="0" fontId="149" fillId="0" borderId="70" xfId="52385" applyFont="1" applyBorder="1" applyAlignment="1">
      <alignment horizontal="center" vertical="center" wrapText="1"/>
    </xf>
    <xf numFmtId="0" fontId="149" fillId="0" borderId="64" xfId="52385" applyFont="1" applyBorder="1" applyAlignment="1">
      <alignment horizontal="center" vertical="center" wrapText="1"/>
    </xf>
    <xf numFmtId="0" fontId="59" fillId="3" borderId="90" xfId="52203" applyFont="1" applyFill="1" applyBorder="1" applyAlignment="1">
      <alignment horizontal="center" vertical="center" wrapText="1"/>
    </xf>
    <xf numFmtId="0" fontId="59" fillId="3" borderId="71" xfId="52203" applyFont="1" applyFill="1" applyBorder="1" applyAlignment="1">
      <alignment horizontal="center" vertical="center"/>
    </xf>
    <xf numFmtId="0" fontId="59" fillId="3" borderId="79" xfId="52203" applyFont="1" applyFill="1" applyBorder="1" applyAlignment="1">
      <alignment horizontal="center" vertical="center"/>
    </xf>
    <xf numFmtId="0" fontId="59" fillId="3" borderId="90" xfId="52203" applyFont="1" applyFill="1" applyBorder="1" applyAlignment="1">
      <alignment horizontal="center" vertical="center"/>
    </xf>
    <xf numFmtId="0" fontId="150" fillId="3" borderId="72" xfId="52203" applyFont="1" applyFill="1" applyBorder="1" applyAlignment="1">
      <alignment horizontal="center" vertical="center" wrapText="1"/>
    </xf>
    <xf numFmtId="0" fontId="150" fillId="3" borderId="81" xfId="52203" applyFont="1" applyFill="1" applyBorder="1" applyAlignment="1">
      <alignment horizontal="center" vertical="center" wrapText="1"/>
    </xf>
    <xf numFmtId="0" fontId="150" fillId="3" borderId="82" xfId="52203" applyFont="1" applyFill="1" applyBorder="1" applyAlignment="1">
      <alignment horizontal="center" vertical="center" wrapText="1"/>
    </xf>
    <xf numFmtId="0" fontId="59" fillId="3" borderId="71" xfId="52203" applyFont="1" applyFill="1" applyBorder="1" applyAlignment="1">
      <alignment horizontal="center" vertical="center" wrapText="1"/>
    </xf>
    <xf numFmtId="0" fontId="59" fillId="3" borderId="80" xfId="52203" applyFont="1" applyFill="1" applyBorder="1" applyAlignment="1">
      <alignment horizontal="center" vertical="center" wrapText="1"/>
    </xf>
    <xf numFmtId="0" fontId="59" fillId="3" borderId="70" xfId="52203" applyFont="1" applyFill="1" applyBorder="1" applyAlignment="1">
      <alignment horizontal="center" vertical="center" wrapText="1"/>
    </xf>
    <xf numFmtId="0" fontId="59" fillId="3" borderId="64" xfId="52203" applyFont="1" applyFill="1" applyBorder="1" applyAlignment="1">
      <alignment horizontal="center" vertical="center" wrapText="1"/>
    </xf>
    <xf numFmtId="0" fontId="59" fillId="3" borderId="89" xfId="52203" applyFont="1" applyFill="1" applyBorder="1" applyAlignment="1">
      <alignment horizontal="center" vertical="center" wrapText="1"/>
    </xf>
    <xf numFmtId="0" fontId="59" fillId="3" borderId="101" xfId="52203" applyFont="1" applyFill="1" applyBorder="1" applyAlignment="1">
      <alignment horizontal="center" vertical="center" wrapText="1"/>
    </xf>
    <xf numFmtId="0" fontId="59" fillId="3" borderId="85" xfId="52203" applyFont="1" applyFill="1" applyBorder="1" applyAlignment="1">
      <alignment horizontal="center" vertical="center" wrapText="1"/>
    </xf>
    <xf numFmtId="0" fontId="150" fillId="3" borderId="80" xfId="52203" applyFont="1" applyFill="1" applyBorder="1" applyAlignment="1">
      <alignment horizontal="center" vertical="center" wrapText="1"/>
    </xf>
    <xf numFmtId="0" fontId="150" fillId="3" borderId="64" xfId="52203" applyFont="1" applyFill="1" applyBorder="1" applyAlignment="1">
      <alignment horizontal="center" vertical="center" wrapText="1"/>
    </xf>
    <xf numFmtId="0" fontId="149" fillId="2" borderId="93" xfId="52203" applyFont="1" applyFill="1" applyBorder="1" applyAlignment="1">
      <alignment horizontal="left" vertical="top" wrapText="1"/>
    </xf>
    <xf numFmtId="0" fontId="149" fillId="2" borderId="47" xfId="52203" applyFont="1" applyFill="1" applyBorder="1" applyAlignment="1">
      <alignment horizontal="left" vertical="top" wrapText="1"/>
    </xf>
    <xf numFmtId="0" fontId="149" fillId="2" borderId="94" xfId="52203" applyFont="1" applyFill="1" applyBorder="1" applyAlignment="1">
      <alignment horizontal="left" vertical="top" wrapText="1"/>
    </xf>
    <xf numFmtId="0" fontId="149" fillId="2" borderId="103" xfId="52203" applyFont="1" applyFill="1" applyBorder="1" applyAlignment="1">
      <alignment horizontal="center" vertical="center"/>
    </xf>
    <xf numFmtId="0" fontId="149" fillId="2" borderId="102" xfId="52203" applyFont="1" applyFill="1" applyBorder="1" applyAlignment="1">
      <alignment horizontal="center" vertical="center"/>
    </xf>
    <xf numFmtId="0" fontId="149" fillId="2" borderId="104" xfId="52203" applyFont="1" applyFill="1" applyBorder="1" applyAlignment="1">
      <alignment horizontal="center" vertical="center"/>
    </xf>
    <xf numFmtId="0" fontId="151" fillId="3" borderId="86" xfId="52203" applyFont="1" applyFill="1" applyBorder="1" applyAlignment="1">
      <alignment horizontal="center" vertical="top" wrapText="1"/>
    </xf>
    <xf numFmtId="0" fontId="151" fillId="3" borderId="81" xfId="52203" applyFont="1" applyFill="1" applyBorder="1" applyAlignment="1">
      <alignment horizontal="center" vertical="top" wrapText="1"/>
    </xf>
    <xf numFmtId="0" fontId="151" fillId="3" borderId="87" xfId="52203" applyFont="1" applyFill="1" applyBorder="1" applyAlignment="1">
      <alignment horizontal="center" vertical="top" wrapText="1"/>
    </xf>
    <xf numFmtId="0" fontId="149" fillId="2" borderId="91" xfId="52203" applyFont="1" applyFill="1" applyBorder="1" applyAlignment="1">
      <alignment horizontal="left" vertical="top" wrapText="1"/>
    </xf>
    <xf numFmtId="0" fontId="149" fillId="2" borderId="66" xfId="52203" applyFont="1" applyFill="1" applyBorder="1" applyAlignment="1">
      <alignment horizontal="left" vertical="top" wrapText="1"/>
    </xf>
    <xf numFmtId="0" fontId="149" fillId="2" borderId="92" xfId="52203" applyFont="1" applyFill="1" applyBorder="1" applyAlignment="1">
      <alignment horizontal="left" vertical="top" wrapText="1"/>
    </xf>
    <xf numFmtId="0" fontId="149" fillId="2" borderId="75" xfId="52203" applyFont="1" applyFill="1" applyBorder="1" applyAlignment="1">
      <alignment horizontal="left" vertical="top" wrapText="1"/>
    </xf>
    <xf numFmtId="0" fontId="149" fillId="2" borderId="0" xfId="52203" applyFont="1" applyFill="1" applyAlignment="1">
      <alignment horizontal="left" vertical="top" wrapText="1"/>
    </xf>
    <xf numFmtId="0" fontId="149" fillId="2" borderId="76" xfId="52203" applyFont="1" applyFill="1" applyBorder="1" applyAlignment="1">
      <alignment horizontal="left" vertical="top" wrapText="1"/>
    </xf>
    <xf numFmtId="0" fontId="59" fillId="3" borderId="117" xfId="1506" applyFont="1" applyFill="1" applyBorder="1" applyAlignment="1">
      <alignment horizontal="center" vertical="center" wrapText="1"/>
    </xf>
    <xf numFmtId="0" fontId="59" fillId="3" borderId="120" xfId="1506" applyFont="1" applyFill="1" applyBorder="1" applyAlignment="1">
      <alignment horizontal="center" vertical="center" wrapText="1"/>
    </xf>
    <xf numFmtId="0" fontId="79" fillId="3" borderId="95" xfId="1506" applyFont="1" applyFill="1" applyBorder="1" applyAlignment="1">
      <alignment horizontal="center" vertical="center" wrapText="1"/>
    </xf>
    <xf numFmtId="0" fontId="79" fillId="3" borderId="96" xfId="1506" applyFont="1" applyFill="1" applyBorder="1" applyAlignment="1">
      <alignment horizontal="center" vertical="center" wrapText="1"/>
    </xf>
    <xf numFmtId="0" fontId="79" fillId="3" borderId="97" xfId="1506" applyFont="1" applyFill="1" applyBorder="1" applyAlignment="1">
      <alignment horizontal="center" vertical="center" wrapText="1"/>
    </xf>
    <xf numFmtId="0" fontId="56" fillId="2" borderId="107" xfId="0" applyFont="1" applyFill="1" applyBorder="1" applyAlignment="1">
      <alignment horizontal="left" vertical="center" wrapText="1"/>
    </xf>
    <xf numFmtId="0" fontId="56" fillId="2" borderId="108" xfId="0" applyFont="1" applyFill="1" applyBorder="1" applyAlignment="1">
      <alignment horizontal="left" vertical="center" wrapText="1"/>
    </xf>
    <xf numFmtId="0" fontId="56" fillId="2" borderId="118" xfId="0" applyFont="1" applyFill="1" applyBorder="1" applyAlignment="1">
      <alignment horizontal="left" vertical="center" wrapText="1"/>
    </xf>
    <xf numFmtId="0" fontId="56" fillId="2" borderId="98" xfId="0" applyFont="1" applyFill="1" applyBorder="1" applyAlignment="1">
      <alignment horizontal="left" vertical="center" wrapText="1"/>
    </xf>
    <xf numFmtId="0" fontId="56" fillId="2" borderId="68" xfId="0" applyFont="1" applyFill="1" applyBorder="1" applyAlignment="1">
      <alignment horizontal="left" vertical="center" wrapText="1"/>
    </xf>
    <xf numFmtId="0" fontId="56" fillId="2" borderId="99" xfId="0" applyFont="1" applyFill="1" applyBorder="1" applyAlignment="1">
      <alignment horizontal="left" vertical="center" wrapText="1"/>
    </xf>
    <xf numFmtId="0" fontId="59" fillId="3" borderId="105" xfId="0" applyFont="1" applyFill="1" applyBorder="1" applyAlignment="1">
      <alignment horizontal="center" vertical="center" wrapText="1"/>
    </xf>
    <xf numFmtId="0" fontId="59" fillId="3" borderId="113" xfId="0" applyFont="1" applyFill="1" applyBorder="1" applyAlignment="1">
      <alignment horizontal="center" vertical="center" wrapText="1"/>
    </xf>
    <xf numFmtId="0" fontId="59" fillId="3" borderId="106" xfId="0" applyFont="1" applyFill="1" applyBorder="1" applyAlignment="1">
      <alignment horizontal="center" vertical="center" wrapText="1"/>
    </xf>
    <xf numFmtId="0" fontId="59" fillId="3" borderId="90" xfId="1506" applyFont="1" applyFill="1" applyBorder="1" applyAlignment="1">
      <alignment horizontal="center" vertical="center" wrapText="1"/>
    </xf>
    <xf numFmtId="169" fontId="59" fillId="3" borderId="117" xfId="140" applyFont="1" applyFill="1" applyBorder="1" applyAlignment="1">
      <alignment horizontal="center" vertical="center" wrapText="1"/>
    </xf>
    <xf numFmtId="169" fontId="59" fillId="3" borderId="120" xfId="140" applyFont="1" applyFill="1" applyBorder="1" applyAlignment="1">
      <alignment horizontal="center" vertical="center" wrapText="1"/>
    </xf>
    <xf numFmtId="0" fontId="59" fillId="3" borderId="79" xfId="1506" applyFont="1" applyFill="1" applyBorder="1" applyAlignment="1">
      <alignment horizontal="center" vertical="center" wrapText="1"/>
    </xf>
    <xf numFmtId="0" fontId="59" fillId="3" borderId="121" xfId="1506" applyFont="1" applyFill="1" applyBorder="1" applyAlignment="1">
      <alignment horizontal="center" vertical="center" wrapText="1"/>
    </xf>
    <xf numFmtId="206" fontId="59" fillId="3" borderId="90" xfId="1506" applyNumberFormat="1" applyFont="1" applyFill="1" applyBorder="1" applyAlignment="1">
      <alignment horizontal="center" vertical="center" wrapText="1"/>
    </xf>
    <xf numFmtId="206" fontId="59" fillId="3" borderId="119" xfId="1506" applyNumberFormat="1" applyFont="1" applyFill="1" applyBorder="1" applyAlignment="1">
      <alignment horizontal="center" vertical="center" wrapText="1"/>
    </xf>
    <xf numFmtId="206" fontId="59" fillId="3" borderId="117" xfId="1506" applyNumberFormat="1" applyFont="1" applyFill="1" applyBorder="1" applyAlignment="1">
      <alignment horizontal="center" vertical="center" wrapText="1"/>
    </xf>
    <xf numFmtId="206" fontId="59" fillId="3" borderId="120" xfId="1506" applyNumberFormat="1" applyFont="1" applyFill="1" applyBorder="1" applyAlignment="1">
      <alignment horizontal="center" vertical="center" wrapText="1"/>
    </xf>
    <xf numFmtId="0" fontId="81" fillId="0" borderId="0" xfId="52385" applyBorder="1" applyAlignment="1">
      <alignment horizontal="left" vertical="top" wrapText="1"/>
    </xf>
    <xf numFmtId="0" fontId="81" fillId="0" borderId="115" xfId="52362" applyBorder="1" applyAlignment="1">
      <alignment horizontal="center" vertical="center"/>
    </xf>
    <xf numFmtId="205" fontId="81" fillId="0" borderId="115" xfId="52362" applyNumberFormat="1" applyBorder="1" applyAlignment="1">
      <alignment horizontal="center" vertical="center"/>
    </xf>
    <xf numFmtId="0" fontId="81" fillId="0" borderId="115" xfId="52362" applyBorder="1" applyAlignment="1">
      <alignment horizontal="center" vertical="center" wrapText="1"/>
    </xf>
    <xf numFmtId="209" fontId="81" fillId="0" borderId="115" xfId="52362" applyNumberFormat="1" applyBorder="1" applyAlignment="1">
      <alignment horizontal="center" vertical="center"/>
    </xf>
    <xf numFmtId="2" fontId="81" fillId="0" borderId="115" xfId="52362" applyNumberFormat="1" applyBorder="1" applyAlignment="1">
      <alignment horizontal="center" vertical="center"/>
    </xf>
    <xf numFmtId="0" fontId="81" fillId="0" borderId="0" xfId="52362" applyBorder="1" applyAlignment="1">
      <alignment horizontal="center" vertical="center"/>
    </xf>
    <xf numFmtId="205" fontId="81" fillId="0" borderId="0" xfId="52362" applyNumberFormat="1" applyBorder="1" applyAlignment="1">
      <alignment horizontal="center" vertical="center"/>
    </xf>
    <xf numFmtId="0" fontId="81" fillId="0" borderId="0" xfId="52362" applyBorder="1" applyAlignment="1">
      <alignment horizontal="center" vertical="center" wrapText="1"/>
    </xf>
    <xf numFmtId="209" fontId="81" fillId="0" borderId="0" xfId="52362" applyNumberFormat="1" applyBorder="1" applyAlignment="1">
      <alignment horizontal="center" vertical="center"/>
    </xf>
    <xf numFmtId="2" fontId="81" fillId="0" borderId="0" xfId="52362" applyNumberFormat="1" applyBorder="1" applyAlignment="1">
      <alignment horizontal="center" vertical="center"/>
    </xf>
    <xf numFmtId="0" fontId="81" fillId="0" borderId="0" xfId="52362" applyBorder="1" applyAlignment="1">
      <alignment horizontal="center" vertical="center" wrapText="1"/>
    </xf>
    <xf numFmtId="205" fontId="81" fillId="0" borderId="0" xfId="52362" applyNumberFormat="1" applyBorder="1" applyAlignment="1">
      <alignment horizontal="center" vertical="center" wrapText="1"/>
    </xf>
    <xf numFmtId="209" fontId="81" fillId="0" borderId="0" xfId="52362" applyNumberFormat="1" applyBorder="1" applyAlignment="1">
      <alignment horizontal="center" vertical="center" wrapText="1"/>
    </xf>
    <xf numFmtId="2" fontId="81" fillId="0" borderId="0" xfId="52362" applyNumberFormat="1" applyBorder="1" applyAlignment="1">
      <alignment horizontal="center" vertical="center" wrapText="1"/>
    </xf>
    <xf numFmtId="0" fontId="81" fillId="0" borderId="74" xfId="52362" applyBorder="1" applyAlignment="1">
      <alignment horizontal="center" vertical="center"/>
    </xf>
    <xf numFmtId="0" fontId="152" fillId="3" borderId="82" xfId="52362" applyFont="1" applyFill="1" applyBorder="1" applyAlignment="1">
      <alignment horizontal="center" vertical="center" wrapText="1"/>
    </xf>
    <xf numFmtId="0" fontId="81" fillId="0" borderId="2" xfId="52362" applyBorder="1" applyAlignment="1">
      <alignment horizontal="center" vertical="center"/>
    </xf>
    <xf numFmtId="0" fontId="81" fillId="0" borderId="2" xfId="52362" applyBorder="1" applyAlignment="1">
      <alignment horizontal="center" vertical="center" wrapText="1"/>
    </xf>
    <xf numFmtId="0" fontId="81" fillId="0" borderId="2" xfId="52362" applyBorder="1" applyAlignment="1">
      <alignment horizontal="center" vertical="center" wrapText="1"/>
    </xf>
    <xf numFmtId="0" fontId="81" fillId="0" borderId="73" xfId="52362" applyBorder="1" applyAlignment="1">
      <alignment horizontal="left" vertical="center" wrapText="1"/>
    </xf>
    <xf numFmtId="0" fontId="81" fillId="0" borderId="115" xfId="52362" applyBorder="1" applyAlignment="1">
      <alignment horizontal="left" vertical="center" wrapText="1"/>
    </xf>
    <xf numFmtId="0" fontId="81" fillId="0" borderId="74" xfId="52362" applyBorder="1" applyAlignment="1">
      <alignment horizontal="left" vertical="center" wrapText="1"/>
    </xf>
    <xf numFmtId="0" fontId="81" fillId="0" borderId="65" xfId="52362" applyBorder="1" applyAlignment="1">
      <alignment horizontal="left" vertical="center" wrapText="1"/>
    </xf>
    <xf numFmtId="0" fontId="81" fillId="0" borderId="0" xfId="52362" applyBorder="1" applyAlignment="1">
      <alignment horizontal="left" vertical="center" wrapText="1"/>
    </xf>
    <xf numFmtId="0" fontId="81" fillId="0" borderId="2" xfId="52362" applyBorder="1" applyAlignment="1">
      <alignment horizontal="left" vertical="center" wrapText="1"/>
    </xf>
  </cellXfs>
  <cellStyles count="52400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10" xfId="52398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4" xfId="52393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rmal_LVC_MODIFICADO-Acost1" xfId="52399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7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5</xdr:row>
      <xdr:rowOff>266700</xdr:rowOff>
    </xdr:from>
    <xdr:to>
      <xdr:col>13</xdr:col>
      <xdr:colOff>466724</xdr:colOff>
      <xdr:row>14</xdr:row>
      <xdr:rowOff>82626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BC6C33-0D68-479A-B7F3-BD53F8892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2825" y="2771775"/>
          <a:ext cx="7867649" cy="25496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  <sheetName val="Preços MAIO 2008"/>
      <sheetName val="Indices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  <sheetName val="RedeBasica"/>
      <sheetName val="Adequação"/>
      <sheetName val="Transp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>
    <tabColor theme="7" tint="0.39997558519241921"/>
    <pageSetUpPr fitToPage="1"/>
  </sheetPr>
  <dimension ref="B1:AK60"/>
  <sheetViews>
    <sheetView tabSelected="1" workbookViewId="0">
      <selection activeCell="Z11" sqref="Z11:AJ11"/>
    </sheetView>
  </sheetViews>
  <sheetFormatPr defaultColWidth="8" defaultRowHeight="12.75"/>
  <cols>
    <col min="1" max="1" width="8" style="175"/>
    <col min="2" max="3" width="4.140625" style="175" customWidth="1"/>
    <col min="4" max="4" width="3.28515625" style="175" customWidth="1"/>
    <col min="5" max="6" width="4.140625" style="175" customWidth="1"/>
    <col min="7" max="7" width="3.28515625" style="175" customWidth="1"/>
    <col min="8" max="9" width="4.140625" style="175" customWidth="1"/>
    <col min="10" max="10" width="3.28515625" style="175" customWidth="1"/>
    <col min="11" max="36" width="4.140625" style="175" customWidth="1"/>
    <col min="37" max="16384" width="8" style="175"/>
  </cols>
  <sheetData>
    <row r="1" spans="2:36" ht="13.5" thickBot="1"/>
    <row r="2" spans="2:36" s="168" customFormat="1" ht="13.5" thickTop="1">
      <c r="B2" s="183" t="s">
        <v>0</v>
      </c>
      <c r="C2" s="184"/>
      <c r="D2" s="184"/>
      <c r="E2" s="184"/>
      <c r="F2" s="185"/>
      <c r="G2" s="184"/>
      <c r="H2" s="184"/>
      <c r="I2" s="184"/>
      <c r="J2" s="184"/>
      <c r="K2" s="184"/>
      <c r="L2" s="184"/>
      <c r="M2" s="184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</row>
    <row r="3" spans="2:36" s="168" customFormat="1">
      <c r="B3" s="187" t="s">
        <v>1</v>
      </c>
      <c r="C3" s="188"/>
      <c r="D3" s="188"/>
      <c r="E3" s="188"/>
      <c r="F3" s="189"/>
      <c r="G3" s="188"/>
      <c r="H3" s="188"/>
      <c r="I3" s="188"/>
      <c r="J3" s="188"/>
      <c r="K3" s="188"/>
      <c r="L3" s="188"/>
      <c r="M3" s="188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90"/>
    </row>
    <row r="4" spans="2:36" s="168" customFormat="1">
      <c r="B4" s="187" t="s">
        <v>4</v>
      </c>
      <c r="C4" s="188"/>
      <c r="D4" s="188"/>
      <c r="E4" s="188"/>
      <c r="F4" s="189"/>
      <c r="G4" s="188"/>
      <c r="H4" s="188"/>
      <c r="I4" s="188"/>
      <c r="J4" s="188"/>
      <c r="K4" s="188"/>
      <c r="L4" s="188"/>
      <c r="M4" s="188"/>
      <c r="N4" s="189"/>
      <c r="O4" s="189"/>
      <c r="P4" s="189"/>
      <c r="Q4" s="188"/>
      <c r="R4" s="189"/>
      <c r="S4" s="189"/>
      <c r="T4" s="189"/>
      <c r="U4" s="189"/>
      <c r="V4" s="189"/>
      <c r="W4" s="189"/>
      <c r="X4" s="189"/>
      <c r="Y4" s="189"/>
      <c r="Z4" s="312" t="s">
        <v>33</v>
      </c>
      <c r="AA4" s="312"/>
      <c r="AB4" s="312"/>
      <c r="AC4" s="312"/>
      <c r="AD4" s="312"/>
      <c r="AE4" s="312"/>
      <c r="AF4" s="313"/>
      <c r="AG4" s="313"/>
      <c r="AH4" s="313"/>
      <c r="AI4" s="313"/>
      <c r="AJ4" s="190"/>
    </row>
    <row r="5" spans="2:36" s="168" customFormat="1">
      <c r="B5" s="187" t="s">
        <v>2</v>
      </c>
      <c r="C5" s="188"/>
      <c r="D5" s="188"/>
      <c r="E5" s="188"/>
      <c r="F5" s="189"/>
      <c r="G5" s="188"/>
      <c r="H5" s="188"/>
      <c r="I5" s="188"/>
      <c r="J5" s="188"/>
      <c r="K5" s="188"/>
      <c r="L5" s="188"/>
      <c r="M5" s="188"/>
      <c r="N5" s="189"/>
      <c r="O5" s="189"/>
      <c r="P5" s="189"/>
      <c r="Q5" s="188"/>
      <c r="R5" s="191"/>
      <c r="S5" s="189"/>
      <c r="T5" s="189"/>
      <c r="U5" s="189"/>
      <c r="V5" s="189"/>
      <c r="W5" s="189"/>
      <c r="X5" s="189"/>
      <c r="Y5" s="189"/>
      <c r="Z5" s="312" t="s">
        <v>34</v>
      </c>
      <c r="AA5" s="312"/>
      <c r="AB5" s="312"/>
      <c r="AC5" s="312"/>
      <c r="AD5" s="312"/>
      <c r="AE5" s="312"/>
      <c r="AF5" s="314"/>
      <c r="AG5" s="314"/>
      <c r="AH5" s="314"/>
      <c r="AI5" s="189"/>
      <c r="AJ5" s="190"/>
    </row>
    <row r="6" spans="2:36" s="168" customFormat="1">
      <c r="B6" s="187" t="s">
        <v>3</v>
      </c>
      <c r="C6" s="188"/>
      <c r="D6" s="188"/>
      <c r="E6" s="188"/>
      <c r="F6" s="189"/>
      <c r="G6" s="188"/>
      <c r="H6" s="188"/>
      <c r="I6" s="188"/>
      <c r="J6" s="188"/>
      <c r="K6" s="188"/>
      <c r="L6" s="188"/>
      <c r="M6" s="188"/>
      <c r="N6" s="189"/>
      <c r="O6" s="189"/>
      <c r="P6" s="189"/>
      <c r="Q6" s="188"/>
      <c r="R6" s="189"/>
      <c r="S6" s="189"/>
      <c r="T6" s="189"/>
      <c r="U6" s="189"/>
      <c r="V6" s="189"/>
      <c r="W6" s="189"/>
      <c r="X6" s="189"/>
      <c r="Y6" s="189"/>
      <c r="Z6" s="312" t="s">
        <v>35</v>
      </c>
      <c r="AA6" s="312"/>
      <c r="AB6" s="312"/>
      <c r="AC6" s="312"/>
      <c r="AD6" s="312"/>
      <c r="AE6" s="312"/>
      <c r="AF6" s="189"/>
      <c r="AG6" s="189"/>
      <c r="AH6" s="189"/>
      <c r="AI6" s="189"/>
      <c r="AJ6" s="190"/>
    </row>
    <row r="7" spans="2:36" s="168" customFormat="1" ht="5.25" customHeight="1">
      <c r="B7" s="192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93"/>
    </row>
    <row r="8" spans="2:36" s="168" customFormat="1" ht="18.75">
      <c r="B8" s="315" t="s">
        <v>36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7"/>
    </row>
    <row r="9" spans="2:36" s="168" customFormat="1" ht="14.25">
      <c r="B9" s="318" t="s">
        <v>37</v>
      </c>
      <c r="C9" s="302"/>
      <c r="D9" s="302"/>
      <c r="E9" s="302"/>
      <c r="F9" s="302"/>
      <c r="G9" s="302"/>
      <c r="H9" s="302"/>
      <c r="I9" s="302"/>
      <c r="J9" s="302"/>
      <c r="K9" s="302"/>
      <c r="L9" s="306"/>
      <c r="M9" s="194"/>
      <c r="N9" s="301" t="s">
        <v>38</v>
      </c>
      <c r="O9" s="302"/>
      <c r="P9" s="302"/>
      <c r="Q9" s="302"/>
      <c r="R9" s="302"/>
      <c r="S9" s="302"/>
      <c r="T9" s="302"/>
      <c r="U9" s="302"/>
      <c r="V9" s="302"/>
      <c r="W9" s="302"/>
      <c r="X9" s="306"/>
      <c r="Y9" s="195"/>
      <c r="Z9" s="301" t="s">
        <v>39</v>
      </c>
      <c r="AA9" s="302"/>
      <c r="AB9" s="302"/>
      <c r="AC9" s="302"/>
      <c r="AD9" s="302"/>
      <c r="AE9" s="302"/>
      <c r="AF9" s="302"/>
      <c r="AG9" s="302"/>
      <c r="AH9" s="302"/>
      <c r="AI9" s="302"/>
      <c r="AJ9" s="304"/>
    </row>
    <row r="10" spans="2:36" s="168" customFormat="1" ht="14.25">
      <c r="B10" s="196"/>
      <c r="C10" s="194"/>
      <c r="D10" s="194"/>
      <c r="E10" s="194"/>
      <c r="F10" s="194"/>
      <c r="G10" s="194"/>
      <c r="H10" s="194"/>
      <c r="I10" s="194"/>
      <c r="J10" s="194"/>
      <c r="K10" s="194"/>
      <c r="L10" s="170"/>
      <c r="M10" s="194"/>
      <c r="N10" s="171"/>
      <c r="O10" s="194"/>
      <c r="P10" s="194"/>
      <c r="Q10" s="194"/>
      <c r="R10" s="194"/>
      <c r="S10" s="194"/>
      <c r="T10" s="194"/>
      <c r="U10" s="194"/>
      <c r="V10" s="194"/>
      <c r="W10" s="194"/>
      <c r="X10" s="170"/>
      <c r="Y10" s="195"/>
      <c r="Z10" s="171"/>
      <c r="AA10" s="194"/>
      <c r="AB10" s="194"/>
      <c r="AC10" s="194"/>
      <c r="AD10" s="194"/>
      <c r="AE10" s="194"/>
      <c r="AF10" s="194"/>
      <c r="AG10" s="194"/>
      <c r="AH10" s="194"/>
      <c r="AI10" s="194"/>
      <c r="AJ10" s="197"/>
    </row>
    <row r="11" spans="2:36" s="168" customFormat="1" ht="28.5" customHeight="1">
      <c r="B11" s="261" t="s">
        <v>40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1"/>
      <c r="M11" s="198"/>
      <c r="N11" s="249" t="s">
        <v>41</v>
      </c>
      <c r="O11" s="250"/>
      <c r="P11" s="250"/>
      <c r="Q11" s="250"/>
      <c r="R11" s="250"/>
      <c r="S11" s="250"/>
      <c r="T11" s="250"/>
      <c r="U11" s="250"/>
      <c r="V11" s="250"/>
      <c r="W11" s="250"/>
      <c r="X11" s="251"/>
      <c r="Y11" s="195"/>
      <c r="Z11" s="310" t="s">
        <v>42</v>
      </c>
      <c r="AA11" s="287"/>
      <c r="AB11" s="287"/>
      <c r="AC11" s="287"/>
      <c r="AD11" s="287"/>
      <c r="AE11" s="287"/>
      <c r="AF11" s="287"/>
      <c r="AG11" s="287"/>
      <c r="AH11" s="287"/>
      <c r="AI11" s="287"/>
      <c r="AJ11" s="311"/>
    </row>
    <row r="12" spans="2:36" s="168" customFormat="1" ht="14.25">
      <c r="B12" s="199" t="s">
        <v>43</v>
      </c>
      <c r="C12" s="200"/>
      <c r="D12" s="198"/>
      <c r="E12" s="200" t="s">
        <v>44</v>
      </c>
      <c r="F12" s="200"/>
      <c r="G12" s="198"/>
      <c r="H12" s="200" t="s">
        <v>45</v>
      </c>
      <c r="I12" s="200"/>
      <c r="J12" s="198"/>
      <c r="K12" s="200" t="s">
        <v>46</v>
      </c>
      <c r="L12" s="201"/>
      <c r="M12" s="194"/>
      <c r="N12" s="172"/>
      <c r="O12" s="198"/>
      <c r="P12" s="198"/>
      <c r="Q12" s="300" t="s">
        <v>47</v>
      </c>
      <c r="R12" s="300"/>
      <c r="S12" s="300"/>
      <c r="T12" s="300"/>
      <c r="U12" s="198"/>
      <c r="V12" s="198"/>
      <c r="W12" s="198"/>
      <c r="X12" s="170"/>
      <c r="Y12" s="195"/>
      <c r="Z12" s="301"/>
      <c r="AA12" s="302"/>
      <c r="AB12" s="194"/>
      <c r="AC12" s="279"/>
      <c r="AD12" s="279"/>
      <c r="AE12" s="298"/>
      <c r="AF12" s="303"/>
      <c r="AG12" s="296"/>
      <c r="AH12" s="194"/>
      <c r="AI12" s="302"/>
      <c r="AJ12" s="304"/>
    </row>
    <row r="13" spans="2:36" s="168" customFormat="1" ht="25.5" customHeight="1">
      <c r="B13" s="295"/>
      <c r="C13" s="296"/>
      <c r="D13" s="194"/>
      <c r="E13" s="309"/>
      <c r="F13" s="296"/>
      <c r="G13" s="194"/>
      <c r="H13" s="298"/>
      <c r="I13" s="296"/>
      <c r="J13" s="194"/>
      <c r="K13" s="298"/>
      <c r="L13" s="296"/>
      <c r="M13" s="194"/>
      <c r="N13" s="301"/>
      <c r="O13" s="302"/>
      <c r="P13" s="194"/>
      <c r="Q13" s="305" t="s">
        <v>48</v>
      </c>
      <c r="R13" s="305"/>
      <c r="S13" s="298"/>
      <c r="T13" s="303"/>
      <c r="U13" s="296"/>
      <c r="V13" s="194"/>
      <c r="W13" s="302"/>
      <c r="X13" s="306"/>
      <c r="Y13" s="195"/>
      <c r="Z13" s="171"/>
      <c r="AA13" s="194"/>
      <c r="AB13" s="194"/>
      <c r="AC13" s="297"/>
      <c r="AD13" s="307"/>
      <c r="AE13" s="307"/>
      <c r="AF13" s="307"/>
      <c r="AG13" s="308"/>
      <c r="AH13" s="194"/>
      <c r="AI13" s="194"/>
      <c r="AJ13" s="197"/>
    </row>
    <row r="14" spans="2:36" s="168" customFormat="1" ht="14.25">
      <c r="B14" s="196"/>
      <c r="C14" s="194"/>
      <c r="D14" s="194"/>
      <c r="E14" s="194"/>
      <c r="F14" s="194"/>
      <c r="G14" s="194"/>
      <c r="H14" s="194"/>
      <c r="I14" s="194"/>
      <c r="J14" s="194"/>
      <c r="K14" s="194"/>
      <c r="L14" s="170"/>
      <c r="M14" s="194"/>
      <c r="N14" s="171"/>
      <c r="O14" s="194"/>
      <c r="P14" s="194"/>
      <c r="Q14" s="298"/>
      <c r="R14" s="303"/>
      <c r="S14" s="303"/>
      <c r="T14" s="303"/>
      <c r="U14" s="296"/>
      <c r="V14" s="194"/>
      <c r="W14" s="194"/>
      <c r="X14" s="170"/>
      <c r="Y14" s="195"/>
      <c r="Z14" s="171"/>
      <c r="AA14" s="194"/>
      <c r="AB14" s="194"/>
      <c r="AC14" s="194"/>
      <c r="AD14" s="194"/>
      <c r="AE14" s="194"/>
      <c r="AF14" s="194"/>
      <c r="AG14" s="194"/>
      <c r="AH14" s="194"/>
      <c r="AI14" s="194"/>
      <c r="AJ14" s="197"/>
    </row>
    <row r="15" spans="2:36" s="168" customFormat="1" ht="14.25">
      <c r="B15" s="196"/>
      <c r="C15" s="194"/>
      <c r="D15" s="194"/>
      <c r="E15" s="194"/>
      <c r="F15" s="194"/>
      <c r="G15" s="194"/>
      <c r="H15" s="194"/>
      <c r="I15" s="194"/>
      <c r="J15" s="194"/>
      <c r="K15" s="194"/>
      <c r="L15" s="170"/>
      <c r="M15" s="194"/>
      <c r="N15" s="171"/>
      <c r="O15" s="194"/>
      <c r="P15" s="194"/>
      <c r="Q15" s="194"/>
      <c r="R15" s="194"/>
      <c r="S15" s="194"/>
      <c r="T15" s="194"/>
      <c r="U15" s="194"/>
      <c r="V15" s="194"/>
      <c r="W15" s="194"/>
      <c r="X15" s="170"/>
      <c r="Y15" s="195"/>
      <c r="Z15" s="292" t="s">
        <v>49</v>
      </c>
      <c r="AA15" s="293"/>
      <c r="AB15" s="293"/>
      <c r="AC15" s="293"/>
      <c r="AD15" s="293"/>
      <c r="AE15" s="293"/>
      <c r="AF15" s="293"/>
      <c r="AG15" s="293"/>
      <c r="AH15" s="293"/>
      <c r="AI15" s="293"/>
      <c r="AJ15" s="299"/>
    </row>
    <row r="16" spans="2:36" s="168" customFormat="1" ht="28.5" customHeight="1">
      <c r="B16" s="261" t="s">
        <v>50</v>
      </c>
      <c r="C16" s="250"/>
      <c r="D16" s="250"/>
      <c r="E16" s="250"/>
      <c r="F16" s="250"/>
      <c r="G16" s="250"/>
      <c r="H16" s="250"/>
      <c r="I16" s="250"/>
      <c r="J16" s="250"/>
      <c r="K16" s="250"/>
      <c r="L16" s="251"/>
      <c r="M16" s="194"/>
      <c r="N16" s="292" t="s">
        <v>51</v>
      </c>
      <c r="O16" s="293"/>
      <c r="P16" s="293"/>
      <c r="Q16" s="293"/>
      <c r="R16" s="293"/>
      <c r="S16" s="293"/>
      <c r="T16" s="293"/>
      <c r="U16" s="293"/>
      <c r="V16" s="293"/>
      <c r="W16" s="293"/>
      <c r="X16" s="294"/>
      <c r="Y16" s="195"/>
      <c r="Z16" s="200" t="s">
        <v>52</v>
      </c>
      <c r="AA16" s="277" t="s">
        <v>53</v>
      </c>
      <c r="AB16" s="277"/>
      <c r="AC16" s="277"/>
      <c r="AD16" s="277"/>
      <c r="AE16" s="198"/>
      <c r="AF16" s="200" t="s">
        <v>7</v>
      </c>
      <c r="AG16" s="277" t="s">
        <v>54</v>
      </c>
      <c r="AH16" s="277"/>
      <c r="AI16" s="277"/>
      <c r="AJ16" s="278"/>
    </row>
    <row r="17" spans="2:37" s="168" customFormat="1" ht="14.25">
      <c r="B17" s="199" t="s">
        <v>43</v>
      </c>
      <c r="C17" s="200"/>
      <c r="D17" s="198"/>
      <c r="E17" s="200" t="s">
        <v>44</v>
      </c>
      <c r="F17" s="200"/>
      <c r="G17" s="198"/>
      <c r="H17" s="200" t="s">
        <v>45</v>
      </c>
      <c r="I17" s="200"/>
      <c r="J17" s="198"/>
      <c r="K17" s="200" t="s">
        <v>46</v>
      </c>
      <c r="L17" s="201"/>
      <c r="M17" s="194"/>
      <c r="N17" s="200" t="s">
        <v>48</v>
      </c>
      <c r="O17" s="277"/>
      <c r="P17" s="277"/>
      <c r="Q17" s="277"/>
      <c r="R17" s="277"/>
      <c r="S17" s="198"/>
      <c r="T17" s="200" t="s">
        <v>55</v>
      </c>
      <c r="U17" s="277"/>
      <c r="V17" s="277"/>
      <c r="W17" s="277"/>
      <c r="X17" s="277"/>
      <c r="Y17" s="195"/>
      <c r="Z17" s="279"/>
      <c r="AA17" s="279"/>
      <c r="AB17" s="279"/>
      <c r="AC17" s="279"/>
      <c r="AD17" s="279"/>
      <c r="AE17" s="194"/>
      <c r="AF17" s="279"/>
      <c r="AG17" s="279"/>
      <c r="AH17" s="279"/>
      <c r="AI17" s="279"/>
      <c r="AJ17" s="280"/>
    </row>
    <row r="18" spans="2:37" s="168" customFormat="1" ht="14.25">
      <c r="B18" s="295"/>
      <c r="C18" s="296"/>
      <c r="D18" s="194"/>
      <c r="E18" s="297"/>
      <c r="F18" s="296"/>
      <c r="G18" s="194"/>
      <c r="H18" s="298"/>
      <c r="I18" s="296"/>
      <c r="J18" s="194"/>
      <c r="K18" s="298"/>
      <c r="L18" s="296"/>
      <c r="M18" s="194"/>
      <c r="N18" s="283"/>
      <c r="O18" s="283"/>
      <c r="P18" s="283"/>
      <c r="Q18" s="283"/>
      <c r="R18" s="283"/>
      <c r="S18" s="194"/>
      <c r="T18" s="279"/>
      <c r="U18" s="279"/>
      <c r="V18" s="279"/>
      <c r="W18" s="279"/>
      <c r="X18" s="279"/>
      <c r="Y18" s="195"/>
      <c r="Z18" s="171"/>
      <c r="AA18" s="194"/>
      <c r="AB18" s="194"/>
      <c r="AC18" s="194"/>
      <c r="AD18" s="194"/>
      <c r="AE18" s="194"/>
      <c r="AF18" s="194"/>
      <c r="AG18" s="194"/>
      <c r="AH18" s="194"/>
      <c r="AI18" s="194"/>
      <c r="AJ18" s="197"/>
    </row>
    <row r="19" spans="2:37" s="168" customFormat="1" ht="14.25">
      <c r="B19" s="196"/>
      <c r="C19" s="194"/>
      <c r="D19" s="194"/>
      <c r="E19" s="194"/>
      <c r="F19" s="194"/>
      <c r="G19" s="194"/>
      <c r="H19" s="194"/>
      <c r="I19" s="194"/>
      <c r="J19" s="194"/>
      <c r="K19" s="194"/>
      <c r="L19" s="170"/>
      <c r="M19" s="194"/>
      <c r="N19" s="171"/>
      <c r="O19" s="194"/>
      <c r="P19" s="194"/>
      <c r="Q19" s="194"/>
      <c r="R19" s="194"/>
      <c r="S19" s="194"/>
      <c r="T19" s="194"/>
      <c r="U19" s="194"/>
      <c r="V19" s="194"/>
      <c r="W19" s="194"/>
      <c r="X19" s="170"/>
      <c r="Y19" s="195"/>
      <c r="Z19" s="171"/>
      <c r="AA19" s="194"/>
      <c r="AB19" s="194"/>
      <c r="AC19" s="200" t="s">
        <v>56</v>
      </c>
      <c r="AD19" s="277" t="s">
        <v>57</v>
      </c>
      <c r="AE19" s="277"/>
      <c r="AF19" s="277"/>
      <c r="AG19" s="194"/>
      <c r="AH19" s="194"/>
      <c r="AI19" s="194"/>
      <c r="AJ19" s="197"/>
    </row>
    <row r="20" spans="2:37" s="168" customFormat="1" ht="27" customHeight="1">
      <c r="B20" s="286" t="s">
        <v>58</v>
      </c>
      <c r="C20" s="287" t="s">
        <v>59</v>
      </c>
      <c r="D20" s="287"/>
      <c r="E20" s="287"/>
      <c r="F20" s="287"/>
      <c r="G20" s="287"/>
      <c r="H20" s="287"/>
      <c r="I20" s="287"/>
      <c r="J20" s="287"/>
      <c r="K20" s="287"/>
      <c r="L20" s="288"/>
      <c r="M20" s="194"/>
      <c r="N20" s="173"/>
      <c r="O20" s="250" t="s">
        <v>60</v>
      </c>
      <c r="P20" s="250"/>
      <c r="Q20" s="250"/>
      <c r="R20" s="250"/>
      <c r="S20" s="250"/>
      <c r="T20" s="250"/>
      <c r="U20" s="250"/>
      <c r="V20" s="250"/>
      <c r="W20" s="250"/>
      <c r="X20" s="174"/>
      <c r="Y20" s="195"/>
      <c r="Z20" s="171"/>
      <c r="AA20" s="194"/>
      <c r="AB20" s="194"/>
      <c r="AC20" s="289"/>
      <c r="AD20" s="290"/>
      <c r="AE20" s="290"/>
      <c r="AF20" s="291"/>
      <c r="AG20" s="194"/>
      <c r="AH20" s="194"/>
      <c r="AI20" s="194"/>
      <c r="AJ20" s="197"/>
      <c r="AK20" s="175"/>
    </row>
    <row r="21" spans="2:37" ht="14.25">
      <c r="B21" s="202"/>
      <c r="C21" s="203"/>
      <c r="D21" s="252"/>
      <c r="E21" s="253"/>
      <c r="F21" s="253"/>
      <c r="G21" s="253"/>
      <c r="H21" s="253"/>
      <c r="I21" s="253"/>
      <c r="J21" s="253"/>
      <c r="K21" s="254"/>
      <c r="L21" s="176"/>
      <c r="M21" s="204"/>
      <c r="N21" s="177"/>
      <c r="O21" s="205"/>
      <c r="P21" s="205"/>
      <c r="Q21" s="205" t="s">
        <v>61</v>
      </c>
      <c r="R21" s="205"/>
      <c r="S21" s="205"/>
      <c r="T21" s="205"/>
      <c r="U21" s="205"/>
      <c r="V21" s="205"/>
      <c r="W21" s="205"/>
      <c r="X21" s="176"/>
      <c r="Y21" s="204"/>
      <c r="Z21" s="171"/>
      <c r="AA21" s="194"/>
      <c r="AB21" s="194"/>
      <c r="AC21" s="194"/>
      <c r="AD21" s="194"/>
      <c r="AE21" s="194"/>
      <c r="AF21" s="194"/>
      <c r="AG21" s="194"/>
      <c r="AH21" s="194"/>
      <c r="AI21" s="194"/>
      <c r="AJ21" s="197"/>
    </row>
    <row r="22" spans="2:37">
      <c r="B22" s="202"/>
      <c r="C22" s="285"/>
      <c r="D22" s="256"/>
      <c r="E22" s="256"/>
      <c r="F22" s="256"/>
      <c r="G22" s="256"/>
      <c r="H22" s="256"/>
      <c r="I22" s="256"/>
      <c r="J22" s="256"/>
      <c r="K22" s="257"/>
      <c r="L22" s="176"/>
      <c r="M22" s="204"/>
      <c r="N22" s="200" t="s">
        <v>48</v>
      </c>
      <c r="O22" s="277"/>
      <c r="P22" s="277"/>
      <c r="Q22" s="277"/>
      <c r="R22" s="277"/>
      <c r="S22" s="198"/>
      <c r="T22" s="200" t="s">
        <v>55</v>
      </c>
      <c r="U22" s="277"/>
      <c r="V22" s="277"/>
      <c r="W22" s="277"/>
      <c r="X22" s="277"/>
      <c r="Y22" s="204"/>
      <c r="Z22" s="173"/>
      <c r="AA22" s="250" t="s">
        <v>62</v>
      </c>
      <c r="AB22" s="250"/>
      <c r="AC22" s="250"/>
      <c r="AD22" s="250"/>
      <c r="AE22" s="250"/>
      <c r="AF22" s="250"/>
      <c r="AG22" s="250"/>
      <c r="AH22" s="250"/>
      <c r="AI22" s="250"/>
      <c r="AJ22" s="206"/>
    </row>
    <row r="23" spans="2:37" ht="14.25">
      <c r="B23" s="202"/>
      <c r="C23" s="258"/>
      <c r="D23" s="259"/>
      <c r="E23" s="259"/>
      <c r="F23" s="259"/>
      <c r="G23" s="259"/>
      <c r="H23" s="259"/>
      <c r="I23" s="259"/>
      <c r="J23" s="259"/>
      <c r="K23" s="260"/>
      <c r="L23" s="176"/>
      <c r="M23" s="204"/>
      <c r="N23" s="279"/>
      <c r="O23" s="279"/>
      <c r="P23" s="279"/>
      <c r="Q23" s="279"/>
      <c r="R23" s="279"/>
      <c r="S23" s="194"/>
      <c r="T23" s="281"/>
      <c r="U23" s="281"/>
      <c r="V23" s="281"/>
      <c r="W23" s="281"/>
      <c r="X23" s="281"/>
      <c r="Y23" s="204"/>
      <c r="Z23" s="177"/>
      <c r="AA23" s="205"/>
      <c r="AB23" s="205"/>
      <c r="AC23" s="205"/>
      <c r="AD23" s="205"/>
      <c r="AE23" s="205"/>
      <c r="AF23" s="205"/>
      <c r="AG23" s="205"/>
      <c r="AH23" s="205"/>
      <c r="AI23" s="205"/>
      <c r="AJ23" s="207"/>
    </row>
    <row r="24" spans="2:37">
      <c r="B24" s="202"/>
      <c r="C24" s="204"/>
      <c r="D24" s="204"/>
      <c r="E24" s="204"/>
      <c r="F24" s="204"/>
      <c r="G24" s="204"/>
      <c r="H24" s="204"/>
      <c r="I24" s="204"/>
      <c r="J24" s="204"/>
      <c r="K24" s="204"/>
      <c r="L24" s="176"/>
      <c r="M24" s="204"/>
      <c r="N24" s="177"/>
      <c r="O24" s="204"/>
      <c r="P24" s="204"/>
      <c r="Q24" s="204"/>
      <c r="R24" s="204"/>
      <c r="S24" s="204"/>
      <c r="T24" s="204"/>
      <c r="U24" s="204"/>
      <c r="V24" s="204"/>
      <c r="W24" s="204"/>
      <c r="X24" s="176"/>
      <c r="Y24" s="204"/>
      <c r="Z24" s="200" t="s">
        <v>19</v>
      </c>
      <c r="AA24" s="282" t="s">
        <v>63</v>
      </c>
      <c r="AB24" s="282"/>
      <c r="AC24" s="282"/>
      <c r="AD24" s="282"/>
      <c r="AE24" s="198"/>
      <c r="AF24" s="200" t="s">
        <v>64</v>
      </c>
      <c r="AG24" s="277" t="s">
        <v>65</v>
      </c>
      <c r="AH24" s="277"/>
      <c r="AI24" s="277"/>
      <c r="AJ24" s="278"/>
      <c r="AK24" s="168"/>
    </row>
    <row r="25" spans="2:37" s="168" customFormat="1" ht="14.25" customHeight="1">
      <c r="B25" s="261" t="s">
        <v>66</v>
      </c>
      <c r="C25" s="250" t="s">
        <v>59</v>
      </c>
      <c r="D25" s="250"/>
      <c r="E25" s="250"/>
      <c r="F25" s="250"/>
      <c r="G25" s="250"/>
      <c r="H25" s="250"/>
      <c r="I25" s="250"/>
      <c r="J25" s="250"/>
      <c r="K25" s="250"/>
      <c r="L25" s="251"/>
      <c r="M25" s="194"/>
      <c r="N25" s="177"/>
      <c r="O25" s="205"/>
      <c r="P25" s="205"/>
      <c r="Q25" s="205" t="s">
        <v>67</v>
      </c>
      <c r="R25" s="205"/>
      <c r="S25" s="205"/>
      <c r="T25" s="205"/>
      <c r="U25" s="205"/>
      <c r="V25" s="205"/>
      <c r="W25" s="205"/>
      <c r="X25" s="176"/>
      <c r="Y25" s="195"/>
      <c r="Z25" s="279"/>
      <c r="AA25" s="279"/>
      <c r="AB25" s="279"/>
      <c r="AC25" s="279"/>
      <c r="AD25" s="279"/>
      <c r="AE25" s="194"/>
      <c r="AF25" s="283"/>
      <c r="AG25" s="283"/>
      <c r="AH25" s="283"/>
      <c r="AI25" s="283"/>
      <c r="AJ25" s="284"/>
      <c r="AK25" s="175"/>
    </row>
    <row r="26" spans="2:37">
      <c r="B26" s="202"/>
      <c r="C26" s="203"/>
      <c r="D26" s="252"/>
      <c r="E26" s="253"/>
      <c r="F26" s="253"/>
      <c r="G26" s="253"/>
      <c r="H26" s="253"/>
      <c r="I26" s="253"/>
      <c r="J26" s="253"/>
      <c r="K26" s="254"/>
      <c r="L26" s="176"/>
      <c r="M26" s="204"/>
      <c r="N26" s="200" t="s">
        <v>48</v>
      </c>
      <c r="O26" s="277"/>
      <c r="P26" s="277"/>
      <c r="Q26" s="277"/>
      <c r="R26" s="277"/>
      <c r="S26" s="198"/>
      <c r="T26" s="200" t="s">
        <v>55</v>
      </c>
      <c r="U26" s="277"/>
      <c r="V26" s="277"/>
      <c r="W26" s="277"/>
      <c r="X26" s="277"/>
      <c r="Y26" s="204"/>
      <c r="Z26" s="177"/>
      <c r="AA26" s="204"/>
      <c r="AB26" s="204"/>
      <c r="AC26" s="204"/>
      <c r="AD26" s="204"/>
      <c r="AE26" s="204"/>
      <c r="AF26" s="204"/>
      <c r="AG26" s="204"/>
      <c r="AH26" s="204"/>
      <c r="AI26" s="204"/>
      <c r="AJ26" s="207"/>
    </row>
    <row r="27" spans="2:37" ht="14.25">
      <c r="B27" s="202"/>
      <c r="C27" s="268"/>
      <c r="D27" s="269"/>
      <c r="E27" s="269"/>
      <c r="F27" s="269"/>
      <c r="G27" s="269"/>
      <c r="H27" s="269"/>
      <c r="I27" s="269"/>
      <c r="J27" s="269"/>
      <c r="K27" s="270"/>
      <c r="L27" s="176"/>
      <c r="M27" s="204"/>
      <c r="N27" s="281"/>
      <c r="O27" s="281"/>
      <c r="P27" s="281"/>
      <c r="Q27" s="281"/>
      <c r="R27" s="281"/>
      <c r="S27" s="194"/>
      <c r="T27" s="281"/>
      <c r="U27" s="281"/>
      <c r="V27" s="281"/>
      <c r="W27" s="281"/>
      <c r="X27" s="281"/>
      <c r="Y27" s="204"/>
      <c r="Z27" s="274" t="s">
        <v>68</v>
      </c>
      <c r="AA27" s="275"/>
      <c r="AB27" s="275"/>
      <c r="AC27" s="275"/>
      <c r="AD27" s="275"/>
      <c r="AE27" s="275"/>
      <c r="AF27" s="275"/>
      <c r="AG27" s="275"/>
      <c r="AH27" s="275"/>
      <c r="AI27" s="275"/>
      <c r="AJ27" s="276"/>
    </row>
    <row r="28" spans="2:37">
      <c r="B28" s="202"/>
      <c r="C28" s="271"/>
      <c r="D28" s="272"/>
      <c r="E28" s="272"/>
      <c r="F28" s="272"/>
      <c r="G28" s="272"/>
      <c r="H28" s="272"/>
      <c r="I28" s="272"/>
      <c r="J28" s="272"/>
      <c r="K28" s="273"/>
      <c r="L28" s="176"/>
      <c r="M28" s="204"/>
      <c r="N28" s="177"/>
      <c r="O28" s="205"/>
      <c r="P28" s="205"/>
      <c r="Q28" s="205"/>
      <c r="R28" s="205"/>
      <c r="S28" s="205"/>
      <c r="T28" s="205"/>
      <c r="U28" s="205"/>
      <c r="V28" s="205"/>
      <c r="W28" s="205"/>
      <c r="X28" s="176"/>
      <c r="Y28" s="204"/>
      <c r="Z28" s="200" t="s">
        <v>48</v>
      </c>
      <c r="AA28" s="277" t="s">
        <v>8</v>
      </c>
      <c r="AB28" s="277"/>
      <c r="AC28" s="277"/>
      <c r="AD28" s="277"/>
      <c r="AE28" s="198"/>
      <c r="AF28" s="200" t="s">
        <v>19</v>
      </c>
      <c r="AG28" s="277"/>
      <c r="AH28" s="277"/>
      <c r="AI28" s="277"/>
      <c r="AJ28" s="278"/>
    </row>
    <row r="29" spans="2:37" ht="14.25">
      <c r="B29" s="202"/>
      <c r="C29" s="204"/>
      <c r="D29" s="204"/>
      <c r="E29" s="204"/>
      <c r="F29" s="204"/>
      <c r="G29" s="204"/>
      <c r="H29" s="204"/>
      <c r="I29" s="204"/>
      <c r="J29" s="204"/>
      <c r="K29" s="204"/>
      <c r="L29" s="176"/>
      <c r="M29" s="204"/>
      <c r="N29" s="177"/>
      <c r="O29" s="204"/>
      <c r="P29" s="204"/>
      <c r="Q29" s="204"/>
      <c r="R29" s="204"/>
      <c r="S29" s="204"/>
      <c r="T29" s="204"/>
      <c r="U29" s="204"/>
      <c r="V29" s="204"/>
      <c r="W29" s="204"/>
      <c r="X29" s="176"/>
      <c r="Y29" s="204"/>
      <c r="Z29" s="279"/>
      <c r="AA29" s="279"/>
      <c r="AB29" s="279"/>
      <c r="AC29" s="279"/>
      <c r="AD29" s="279"/>
      <c r="AE29" s="194"/>
      <c r="AF29" s="279"/>
      <c r="AG29" s="279"/>
      <c r="AH29" s="279"/>
      <c r="AI29" s="279"/>
      <c r="AJ29" s="280"/>
      <c r="AK29" s="168"/>
    </row>
    <row r="30" spans="2:37" s="168" customFormat="1" ht="14.25">
      <c r="B30" s="261" t="s">
        <v>69</v>
      </c>
      <c r="C30" s="250" t="s">
        <v>59</v>
      </c>
      <c r="D30" s="250"/>
      <c r="E30" s="250"/>
      <c r="F30" s="250"/>
      <c r="G30" s="250"/>
      <c r="H30" s="250"/>
      <c r="I30" s="250"/>
      <c r="J30" s="250"/>
      <c r="K30" s="250"/>
      <c r="L30" s="251"/>
      <c r="M30" s="194"/>
      <c r="N30" s="249" t="s">
        <v>70</v>
      </c>
      <c r="O30" s="250" t="s">
        <v>59</v>
      </c>
      <c r="P30" s="250"/>
      <c r="Q30" s="250"/>
      <c r="R30" s="250"/>
      <c r="S30" s="250"/>
      <c r="T30" s="250"/>
      <c r="U30" s="250"/>
      <c r="V30" s="250"/>
      <c r="W30" s="250"/>
      <c r="X30" s="251"/>
      <c r="Y30" s="195"/>
      <c r="Z30" s="177"/>
      <c r="AA30" s="205"/>
      <c r="AB30" s="205"/>
      <c r="AC30" s="205"/>
      <c r="AD30" s="205"/>
      <c r="AE30" s="205"/>
      <c r="AF30" s="205"/>
      <c r="AG30" s="205"/>
      <c r="AH30" s="205"/>
      <c r="AI30" s="205"/>
      <c r="AJ30" s="207"/>
      <c r="AK30" s="175"/>
    </row>
    <row r="31" spans="2:37">
      <c r="B31" s="202"/>
      <c r="C31" s="203"/>
      <c r="D31" s="252"/>
      <c r="E31" s="253"/>
      <c r="F31" s="253"/>
      <c r="G31" s="253"/>
      <c r="H31" s="253"/>
      <c r="I31" s="253"/>
      <c r="J31" s="253"/>
      <c r="K31" s="254"/>
      <c r="L31" s="176"/>
      <c r="M31" s="204"/>
      <c r="N31" s="177"/>
      <c r="O31" s="203" t="s">
        <v>48</v>
      </c>
      <c r="P31" s="252"/>
      <c r="Q31" s="253"/>
      <c r="R31" s="253"/>
      <c r="S31" s="253"/>
      <c r="T31" s="253"/>
      <c r="U31" s="253"/>
      <c r="V31" s="253"/>
      <c r="W31" s="254"/>
      <c r="X31" s="176"/>
      <c r="Y31" s="204"/>
      <c r="Z31" s="177"/>
      <c r="AA31" s="204"/>
      <c r="AB31" s="204"/>
      <c r="AC31" s="204"/>
      <c r="AD31" s="204"/>
      <c r="AE31" s="204"/>
      <c r="AF31" s="204"/>
      <c r="AG31" s="204"/>
      <c r="AH31" s="204"/>
      <c r="AI31" s="204"/>
      <c r="AJ31" s="207"/>
    </row>
    <row r="32" spans="2:37">
      <c r="B32" s="202"/>
      <c r="C32" s="268"/>
      <c r="D32" s="269"/>
      <c r="E32" s="269"/>
      <c r="F32" s="269"/>
      <c r="G32" s="269"/>
      <c r="H32" s="269"/>
      <c r="I32" s="269"/>
      <c r="J32" s="269"/>
      <c r="K32" s="270"/>
      <c r="L32" s="176"/>
      <c r="M32" s="204"/>
      <c r="N32" s="177"/>
      <c r="O32" s="255"/>
      <c r="P32" s="256"/>
      <c r="Q32" s="256"/>
      <c r="R32" s="256"/>
      <c r="S32" s="256"/>
      <c r="T32" s="256"/>
      <c r="U32" s="256"/>
      <c r="V32" s="256"/>
      <c r="W32" s="257"/>
      <c r="X32" s="176"/>
      <c r="Y32" s="204"/>
      <c r="Z32" s="249" t="s">
        <v>71</v>
      </c>
      <c r="AA32" s="250" t="s">
        <v>59</v>
      </c>
      <c r="AB32" s="250"/>
      <c r="AC32" s="250"/>
      <c r="AD32" s="250"/>
      <c r="AE32" s="250"/>
      <c r="AF32" s="250"/>
      <c r="AG32" s="250"/>
      <c r="AH32" s="250"/>
      <c r="AI32" s="250"/>
      <c r="AJ32" s="267"/>
    </row>
    <row r="33" spans="2:37">
      <c r="B33" s="202"/>
      <c r="C33" s="271"/>
      <c r="D33" s="272"/>
      <c r="E33" s="272"/>
      <c r="F33" s="272"/>
      <c r="G33" s="272"/>
      <c r="H33" s="272"/>
      <c r="I33" s="272"/>
      <c r="J33" s="272"/>
      <c r="K33" s="273"/>
      <c r="L33" s="176"/>
      <c r="M33" s="204"/>
      <c r="N33" s="177"/>
      <c r="O33" s="258"/>
      <c r="P33" s="259"/>
      <c r="Q33" s="259"/>
      <c r="R33" s="259"/>
      <c r="S33" s="259"/>
      <c r="T33" s="259"/>
      <c r="U33" s="259"/>
      <c r="V33" s="259"/>
      <c r="W33" s="260"/>
      <c r="X33" s="176"/>
      <c r="Y33" s="204"/>
      <c r="Z33" s="177"/>
      <c r="AA33" s="203" t="s">
        <v>48</v>
      </c>
      <c r="AB33" s="252"/>
      <c r="AC33" s="253"/>
      <c r="AD33" s="253"/>
      <c r="AE33" s="253"/>
      <c r="AF33" s="253"/>
      <c r="AG33" s="253"/>
      <c r="AH33" s="253"/>
      <c r="AI33" s="254"/>
      <c r="AJ33" s="207"/>
    </row>
    <row r="34" spans="2:37">
      <c r="B34" s="202"/>
      <c r="C34" s="204"/>
      <c r="D34" s="204"/>
      <c r="E34" s="204"/>
      <c r="F34" s="204"/>
      <c r="G34" s="204"/>
      <c r="H34" s="204"/>
      <c r="I34" s="204"/>
      <c r="J34" s="204"/>
      <c r="K34" s="204"/>
      <c r="L34" s="176"/>
      <c r="M34" s="204"/>
      <c r="N34" s="177"/>
      <c r="O34" s="204"/>
      <c r="P34" s="204"/>
      <c r="Q34" s="204"/>
      <c r="R34" s="204"/>
      <c r="S34" s="204"/>
      <c r="T34" s="204"/>
      <c r="U34" s="204"/>
      <c r="V34" s="204"/>
      <c r="W34" s="204"/>
      <c r="X34" s="176"/>
      <c r="Y34" s="204"/>
      <c r="Z34" s="177"/>
      <c r="AA34" s="255"/>
      <c r="AB34" s="262"/>
      <c r="AC34" s="262"/>
      <c r="AD34" s="262"/>
      <c r="AE34" s="262"/>
      <c r="AF34" s="262"/>
      <c r="AG34" s="262"/>
      <c r="AH34" s="262"/>
      <c r="AI34" s="263"/>
      <c r="AJ34" s="207"/>
      <c r="AK34" s="168"/>
    </row>
    <row r="35" spans="2:37" s="168" customFormat="1" ht="14.25">
      <c r="B35" s="261" t="s">
        <v>72</v>
      </c>
      <c r="C35" s="250" t="s">
        <v>59</v>
      </c>
      <c r="D35" s="250"/>
      <c r="E35" s="250"/>
      <c r="F35" s="250"/>
      <c r="G35" s="250"/>
      <c r="H35" s="250"/>
      <c r="I35" s="250"/>
      <c r="J35" s="250"/>
      <c r="K35" s="250"/>
      <c r="L35" s="251"/>
      <c r="M35" s="194"/>
      <c r="N35" s="249" t="s">
        <v>73</v>
      </c>
      <c r="O35" s="250" t="s">
        <v>59</v>
      </c>
      <c r="P35" s="250"/>
      <c r="Q35" s="250"/>
      <c r="R35" s="250"/>
      <c r="S35" s="250"/>
      <c r="T35" s="250"/>
      <c r="U35" s="250"/>
      <c r="V35" s="250"/>
      <c r="W35" s="250"/>
      <c r="X35" s="251"/>
      <c r="Y35" s="195"/>
      <c r="Z35" s="177"/>
      <c r="AA35" s="264"/>
      <c r="AB35" s="265"/>
      <c r="AC35" s="265"/>
      <c r="AD35" s="265"/>
      <c r="AE35" s="265"/>
      <c r="AF35" s="265"/>
      <c r="AG35" s="265"/>
      <c r="AH35" s="265"/>
      <c r="AI35" s="266"/>
      <c r="AJ35" s="207"/>
      <c r="AK35" s="175"/>
    </row>
    <row r="36" spans="2:37">
      <c r="B36" s="202"/>
      <c r="C36" s="203"/>
      <c r="D36" s="252"/>
      <c r="E36" s="253"/>
      <c r="F36" s="253"/>
      <c r="G36" s="253"/>
      <c r="H36" s="253"/>
      <c r="I36" s="253"/>
      <c r="J36" s="253"/>
      <c r="K36" s="254"/>
      <c r="L36" s="176"/>
      <c r="M36" s="204"/>
      <c r="N36" s="177"/>
      <c r="O36" s="203"/>
      <c r="P36" s="252"/>
      <c r="Q36" s="253"/>
      <c r="R36" s="253"/>
      <c r="S36" s="253"/>
      <c r="T36" s="253"/>
      <c r="U36" s="253"/>
      <c r="V36" s="253"/>
      <c r="W36" s="254"/>
      <c r="X36" s="176"/>
      <c r="Y36" s="204"/>
      <c r="Z36" s="177"/>
      <c r="AA36" s="204"/>
      <c r="AB36" s="204"/>
      <c r="AC36" s="204"/>
      <c r="AD36" s="204"/>
      <c r="AE36" s="204"/>
      <c r="AF36" s="204"/>
      <c r="AG36" s="204"/>
      <c r="AH36" s="204"/>
      <c r="AI36" s="204"/>
      <c r="AJ36" s="207"/>
    </row>
    <row r="37" spans="2:37">
      <c r="B37" s="202"/>
      <c r="C37" s="255"/>
      <c r="D37" s="256"/>
      <c r="E37" s="256"/>
      <c r="F37" s="256"/>
      <c r="G37" s="256"/>
      <c r="H37" s="256"/>
      <c r="I37" s="256"/>
      <c r="J37" s="256"/>
      <c r="K37" s="257"/>
      <c r="L37" s="176"/>
      <c r="M37" s="204"/>
      <c r="N37" s="177"/>
      <c r="O37" s="255"/>
      <c r="P37" s="262"/>
      <c r="Q37" s="262"/>
      <c r="R37" s="262"/>
      <c r="S37" s="262"/>
      <c r="T37" s="262"/>
      <c r="U37" s="262"/>
      <c r="V37" s="262"/>
      <c r="W37" s="263"/>
      <c r="X37" s="176"/>
      <c r="Y37" s="204"/>
      <c r="Z37" s="249" t="s">
        <v>74</v>
      </c>
      <c r="AA37" s="250" t="s">
        <v>59</v>
      </c>
      <c r="AB37" s="250"/>
      <c r="AC37" s="250"/>
      <c r="AD37" s="250"/>
      <c r="AE37" s="250"/>
      <c r="AF37" s="250"/>
      <c r="AG37" s="250"/>
      <c r="AH37" s="250"/>
      <c r="AI37" s="250"/>
      <c r="AJ37" s="267"/>
    </row>
    <row r="38" spans="2:37">
      <c r="B38" s="202"/>
      <c r="C38" s="258"/>
      <c r="D38" s="259"/>
      <c r="E38" s="259"/>
      <c r="F38" s="259"/>
      <c r="G38" s="259"/>
      <c r="H38" s="259"/>
      <c r="I38" s="259"/>
      <c r="J38" s="259"/>
      <c r="K38" s="260"/>
      <c r="L38" s="176"/>
      <c r="M38" s="204"/>
      <c r="N38" s="177"/>
      <c r="O38" s="264"/>
      <c r="P38" s="265"/>
      <c r="Q38" s="265"/>
      <c r="R38" s="265"/>
      <c r="S38" s="265"/>
      <c r="T38" s="265"/>
      <c r="U38" s="265"/>
      <c r="V38" s="265"/>
      <c r="W38" s="266"/>
      <c r="X38" s="176"/>
      <c r="Y38" s="204"/>
      <c r="Z38" s="177"/>
      <c r="AA38" s="203" t="s">
        <v>48</v>
      </c>
      <c r="AB38" s="252"/>
      <c r="AC38" s="253"/>
      <c r="AD38" s="253"/>
      <c r="AE38" s="253"/>
      <c r="AF38" s="253"/>
      <c r="AG38" s="253"/>
      <c r="AH38" s="253"/>
      <c r="AI38" s="254"/>
      <c r="AJ38" s="207"/>
    </row>
    <row r="39" spans="2:37">
      <c r="B39" s="202"/>
      <c r="C39" s="204"/>
      <c r="D39" s="204"/>
      <c r="E39" s="204"/>
      <c r="F39" s="204"/>
      <c r="G39" s="204"/>
      <c r="H39" s="204"/>
      <c r="I39" s="204"/>
      <c r="J39" s="204"/>
      <c r="K39" s="204"/>
      <c r="L39" s="176"/>
      <c r="M39" s="204"/>
      <c r="N39" s="177"/>
      <c r="O39" s="204"/>
      <c r="P39" s="204"/>
      <c r="Q39" s="204"/>
      <c r="R39" s="204"/>
      <c r="S39" s="204"/>
      <c r="T39" s="204"/>
      <c r="U39" s="204"/>
      <c r="V39" s="204"/>
      <c r="W39" s="204"/>
      <c r="X39" s="176"/>
      <c r="Y39" s="204"/>
      <c r="Z39" s="177"/>
      <c r="AA39" s="255"/>
      <c r="AB39" s="256"/>
      <c r="AC39" s="256"/>
      <c r="AD39" s="256"/>
      <c r="AE39" s="256"/>
      <c r="AF39" s="256"/>
      <c r="AG39" s="256"/>
      <c r="AH39" s="256"/>
      <c r="AI39" s="257"/>
      <c r="AJ39" s="207"/>
      <c r="AK39" s="168"/>
    </row>
    <row r="40" spans="2:37" s="168" customFormat="1" ht="14.25">
      <c r="B40" s="261" t="s">
        <v>75</v>
      </c>
      <c r="C40" s="250" t="s">
        <v>59</v>
      </c>
      <c r="D40" s="250"/>
      <c r="E40" s="250"/>
      <c r="F40" s="250"/>
      <c r="G40" s="250"/>
      <c r="H40" s="250"/>
      <c r="I40" s="250"/>
      <c r="J40" s="250"/>
      <c r="K40" s="250"/>
      <c r="L40" s="251"/>
      <c r="M40" s="194"/>
      <c r="N40" s="249" t="s">
        <v>76</v>
      </c>
      <c r="O40" s="250" t="s">
        <v>59</v>
      </c>
      <c r="P40" s="250"/>
      <c r="Q40" s="250"/>
      <c r="R40" s="250"/>
      <c r="S40" s="250"/>
      <c r="T40" s="250"/>
      <c r="U40" s="250"/>
      <c r="V40" s="250"/>
      <c r="W40" s="250"/>
      <c r="X40" s="251"/>
      <c r="Y40" s="195"/>
      <c r="Z40" s="177"/>
      <c r="AA40" s="258"/>
      <c r="AB40" s="259"/>
      <c r="AC40" s="259"/>
      <c r="AD40" s="259"/>
      <c r="AE40" s="259"/>
      <c r="AF40" s="259"/>
      <c r="AG40" s="259"/>
      <c r="AH40" s="259"/>
      <c r="AI40" s="260"/>
      <c r="AJ40" s="207"/>
      <c r="AK40" s="175"/>
    </row>
    <row r="41" spans="2:37">
      <c r="B41" s="202"/>
      <c r="C41" s="203"/>
      <c r="D41" s="252"/>
      <c r="E41" s="253"/>
      <c r="F41" s="253"/>
      <c r="G41" s="253"/>
      <c r="H41" s="253"/>
      <c r="I41" s="253"/>
      <c r="J41" s="253"/>
      <c r="K41" s="254"/>
      <c r="L41" s="176"/>
      <c r="M41" s="204"/>
      <c r="N41" s="177"/>
      <c r="O41" s="203"/>
      <c r="P41" s="252"/>
      <c r="Q41" s="253"/>
      <c r="R41" s="253"/>
      <c r="S41" s="253"/>
      <c r="T41" s="253"/>
      <c r="U41" s="253"/>
      <c r="V41" s="253"/>
      <c r="W41" s="254"/>
      <c r="X41" s="176"/>
      <c r="Y41" s="204"/>
      <c r="Z41" s="177"/>
      <c r="AA41" s="204"/>
      <c r="AB41" s="204"/>
      <c r="AC41" s="204"/>
      <c r="AD41" s="204"/>
      <c r="AE41" s="204"/>
      <c r="AF41" s="204"/>
      <c r="AG41" s="204"/>
      <c r="AH41" s="204"/>
      <c r="AI41" s="204"/>
      <c r="AJ41" s="207"/>
    </row>
    <row r="42" spans="2:37">
      <c r="B42" s="202"/>
      <c r="C42" s="255"/>
      <c r="D42" s="256"/>
      <c r="E42" s="256"/>
      <c r="F42" s="256"/>
      <c r="G42" s="256"/>
      <c r="H42" s="256"/>
      <c r="I42" s="256"/>
      <c r="J42" s="256"/>
      <c r="K42" s="257"/>
      <c r="L42" s="176"/>
      <c r="M42" s="204"/>
      <c r="N42" s="177"/>
      <c r="O42" s="255"/>
      <c r="P42" s="256"/>
      <c r="Q42" s="256"/>
      <c r="R42" s="256"/>
      <c r="S42" s="256"/>
      <c r="T42" s="256"/>
      <c r="U42" s="256"/>
      <c r="V42" s="256"/>
      <c r="W42" s="257"/>
      <c r="X42" s="176"/>
      <c r="Y42" s="204"/>
      <c r="Z42" s="178"/>
      <c r="AA42" s="179"/>
      <c r="AB42" s="179"/>
      <c r="AC42" s="179"/>
      <c r="AD42" s="179"/>
      <c r="AE42" s="179"/>
      <c r="AF42" s="179"/>
      <c r="AG42" s="179"/>
      <c r="AH42" s="179"/>
      <c r="AI42" s="179"/>
      <c r="AJ42" s="208"/>
    </row>
    <row r="43" spans="2:37">
      <c r="B43" s="202"/>
      <c r="C43" s="258"/>
      <c r="D43" s="259"/>
      <c r="E43" s="259"/>
      <c r="F43" s="259"/>
      <c r="G43" s="259"/>
      <c r="H43" s="259"/>
      <c r="I43" s="259"/>
      <c r="J43" s="259"/>
      <c r="K43" s="260"/>
      <c r="L43" s="176"/>
      <c r="M43" s="204"/>
      <c r="N43" s="177"/>
      <c r="O43" s="258"/>
      <c r="P43" s="259"/>
      <c r="Q43" s="259"/>
      <c r="R43" s="259"/>
      <c r="S43" s="259"/>
      <c r="T43" s="259"/>
      <c r="U43" s="259"/>
      <c r="V43" s="259"/>
      <c r="W43" s="260"/>
      <c r="X43" s="176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7"/>
    </row>
    <row r="44" spans="2:37">
      <c r="B44" s="202"/>
      <c r="C44" s="204"/>
      <c r="D44" s="204"/>
      <c r="E44" s="204"/>
      <c r="F44" s="204"/>
      <c r="G44" s="204"/>
      <c r="H44" s="204"/>
      <c r="I44" s="204"/>
      <c r="J44" s="204"/>
      <c r="K44" s="204"/>
      <c r="L44" s="176"/>
      <c r="M44" s="204"/>
      <c r="N44" s="177"/>
      <c r="O44" s="204"/>
      <c r="P44" s="204"/>
      <c r="Q44" s="204"/>
      <c r="R44" s="204"/>
      <c r="S44" s="204"/>
      <c r="T44" s="204"/>
      <c r="U44" s="204"/>
      <c r="V44" s="204"/>
      <c r="W44" s="204"/>
      <c r="X44" s="176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7"/>
    </row>
    <row r="45" spans="2:37">
      <c r="B45" s="209"/>
      <c r="C45" s="179"/>
      <c r="D45" s="179"/>
      <c r="E45" s="179"/>
      <c r="F45" s="179"/>
      <c r="G45" s="179"/>
      <c r="H45" s="179"/>
      <c r="I45" s="179"/>
      <c r="J45" s="179"/>
      <c r="K45" s="179"/>
      <c r="L45" s="180"/>
      <c r="M45" s="204"/>
      <c r="N45" s="249" t="s">
        <v>77</v>
      </c>
      <c r="O45" s="250" t="s">
        <v>59</v>
      </c>
      <c r="P45" s="250"/>
      <c r="Q45" s="250"/>
      <c r="R45" s="250"/>
      <c r="S45" s="250"/>
      <c r="T45" s="250"/>
      <c r="U45" s="250"/>
      <c r="V45" s="250"/>
      <c r="W45" s="250"/>
      <c r="X45" s="251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7"/>
    </row>
    <row r="46" spans="2:37">
      <c r="B46" s="202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177"/>
      <c r="O46" s="203"/>
      <c r="P46" s="252"/>
      <c r="Q46" s="253"/>
      <c r="R46" s="253"/>
      <c r="S46" s="253"/>
      <c r="T46" s="253"/>
      <c r="U46" s="253"/>
      <c r="V46" s="253"/>
      <c r="W46" s="254"/>
      <c r="X46" s="176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7"/>
    </row>
    <row r="47" spans="2:37">
      <c r="B47" s="202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177"/>
      <c r="O47" s="255"/>
      <c r="P47" s="256"/>
      <c r="Q47" s="256"/>
      <c r="R47" s="256"/>
      <c r="S47" s="256"/>
      <c r="T47" s="256"/>
      <c r="U47" s="256"/>
      <c r="V47" s="256"/>
      <c r="W47" s="257"/>
      <c r="X47" s="176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7"/>
    </row>
    <row r="48" spans="2:37">
      <c r="B48" s="202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177"/>
      <c r="O48" s="258"/>
      <c r="P48" s="259"/>
      <c r="Q48" s="259"/>
      <c r="R48" s="259"/>
      <c r="S48" s="259"/>
      <c r="T48" s="259"/>
      <c r="U48" s="259"/>
      <c r="V48" s="259"/>
      <c r="W48" s="260"/>
      <c r="X48" s="176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7"/>
    </row>
    <row r="49" spans="2:36">
      <c r="B49" s="202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178"/>
      <c r="O49" s="179"/>
      <c r="P49" s="179"/>
      <c r="Q49" s="179"/>
      <c r="R49" s="179"/>
      <c r="S49" s="179"/>
      <c r="T49" s="179"/>
      <c r="U49" s="179"/>
      <c r="V49" s="179"/>
      <c r="W49" s="179"/>
      <c r="X49" s="180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7"/>
    </row>
    <row r="50" spans="2:36">
      <c r="B50" s="202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7"/>
    </row>
    <row r="51" spans="2:36">
      <c r="B51" s="20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208"/>
    </row>
    <row r="52" spans="2:36">
      <c r="B52" s="210" t="s">
        <v>78</v>
      </c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181"/>
      <c r="Z52" s="182"/>
      <c r="AA52" s="211"/>
      <c r="AB52" s="211"/>
      <c r="AC52" s="211"/>
      <c r="AD52" s="211"/>
      <c r="AE52" s="211"/>
      <c r="AF52" s="211"/>
      <c r="AG52" s="211"/>
      <c r="AH52" s="211"/>
      <c r="AI52" s="211"/>
      <c r="AJ52" s="212"/>
    </row>
    <row r="53" spans="2:36">
      <c r="B53" s="202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176"/>
      <c r="Z53" s="177"/>
      <c r="AA53" s="204"/>
      <c r="AB53" s="204"/>
      <c r="AC53" s="204"/>
      <c r="AD53" s="204"/>
      <c r="AE53" s="204"/>
      <c r="AF53" s="204"/>
      <c r="AG53" s="204"/>
      <c r="AH53" s="204"/>
      <c r="AI53" s="204"/>
      <c r="AJ53" s="207"/>
    </row>
    <row r="54" spans="2:36">
      <c r="B54" s="202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176"/>
      <c r="Z54" s="177"/>
      <c r="AA54" s="204"/>
      <c r="AB54" s="204"/>
      <c r="AC54" s="204"/>
      <c r="AD54" s="204"/>
      <c r="AE54" s="204"/>
      <c r="AF54" s="204"/>
      <c r="AG54" s="204"/>
      <c r="AH54" s="204"/>
      <c r="AI54" s="204"/>
      <c r="AJ54" s="207"/>
    </row>
    <row r="55" spans="2:36">
      <c r="B55" s="202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176"/>
      <c r="Z55" s="177"/>
      <c r="AA55" s="204"/>
      <c r="AB55" s="204"/>
      <c r="AC55" s="204"/>
      <c r="AD55" s="204"/>
      <c r="AE55" s="204"/>
      <c r="AF55" s="204"/>
      <c r="AG55" s="204"/>
      <c r="AH55" s="204"/>
      <c r="AI55" s="204"/>
      <c r="AJ55" s="207"/>
    </row>
    <row r="56" spans="2:36">
      <c r="B56" s="202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176"/>
      <c r="Z56" s="177"/>
      <c r="AA56" s="204"/>
      <c r="AB56" s="204"/>
      <c r="AC56" s="204"/>
      <c r="AD56" s="204"/>
      <c r="AE56" s="204"/>
      <c r="AF56" s="204"/>
      <c r="AG56" s="204"/>
      <c r="AH56" s="204"/>
      <c r="AI56" s="204"/>
      <c r="AJ56" s="207"/>
    </row>
    <row r="57" spans="2:36">
      <c r="B57" s="202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176"/>
      <c r="Z57" s="177"/>
      <c r="AA57" s="204"/>
      <c r="AB57" s="204"/>
      <c r="AC57" s="204"/>
      <c r="AD57" s="204"/>
      <c r="AE57" s="204"/>
      <c r="AF57" s="204"/>
      <c r="AG57" s="204"/>
      <c r="AH57" s="204"/>
      <c r="AI57" s="204"/>
      <c r="AJ57" s="207"/>
    </row>
    <row r="58" spans="2:36">
      <c r="B58" s="202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176"/>
      <c r="Z58" s="177"/>
      <c r="AA58" s="204"/>
      <c r="AB58" s="204"/>
      <c r="AC58" s="179"/>
      <c r="AD58" s="179"/>
      <c r="AE58" s="179"/>
      <c r="AF58" s="179"/>
      <c r="AG58" s="179"/>
      <c r="AH58" s="179"/>
      <c r="AI58" s="204"/>
      <c r="AJ58" s="207"/>
    </row>
    <row r="59" spans="2:36" ht="13.5" thickBot="1">
      <c r="B59" s="213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5"/>
      <c r="Z59" s="216"/>
      <c r="AA59" s="214"/>
      <c r="AB59" s="214"/>
      <c r="AC59" s="214" t="s">
        <v>79</v>
      </c>
      <c r="AD59" s="214"/>
      <c r="AE59" s="214"/>
      <c r="AF59" s="214"/>
      <c r="AG59" s="214"/>
      <c r="AH59" s="214"/>
      <c r="AI59" s="214"/>
      <c r="AJ59" s="217"/>
    </row>
    <row r="60" spans="2:36" ht="13.5" thickTop="1"/>
  </sheetData>
  <mergeCells count="96">
    <mergeCell ref="B11:L11"/>
    <mergeCell ref="N11:X11"/>
    <mergeCell ref="Z11:AJ11"/>
    <mergeCell ref="Z4:AE4"/>
    <mergeCell ref="AF4:AI4"/>
    <mergeCell ref="Z5:AE5"/>
    <mergeCell ref="AF5:AH5"/>
    <mergeCell ref="Z6:AE6"/>
    <mergeCell ref="B8:AJ8"/>
    <mergeCell ref="B9:L9"/>
    <mergeCell ref="N9:X9"/>
    <mergeCell ref="Z9:AJ9"/>
    <mergeCell ref="B13:C13"/>
    <mergeCell ref="E13:F13"/>
    <mergeCell ref="H13:I13"/>
    <mergeCell ref="K13:L13"/>
    <mergeCell ref="N13:O13"/>
    <mergeCell ref="Z15:AJ15"/>
    <mergeCell ref="Q12:T12"/>
    <mergeCell ref="Z12:AA12"/>
    <mergeCell ref="AC12:AD12"/>
    <mergeCell ref="AE12:AG12"/>
    <mergeCell ref="AI12:AJ12"/>
    <mergeCell ref="Q13:R13"/>
    <mergeCell ref="S13:U13"/>
    <mergeCell ref="W13:X13"/>
    <mergeCell ref="AC13:AG13"/>
    <mergeCell ref="Q14:U14"/>
    <mergeCell ref="T18:X18"/>
    <mergeCell ref="B16:L16"/>
    <mergeCell ref="N16:X16"/>
    <mergeCell ref="AA16:AD16"/>
    <mergeCell ref="AG16:AJ16"/>
    <mergeCell ref="O17:R17"/>
    <mergeCell ref="U17:X17"/>
    <mergeCell ref="Z17:AD17"/>
    <mergeCell ref="AF17:AJ17"/>
    <mergeCell ref="B18:C18"/>
    <mergeCell ref="E18:F18"/>
    <mergeCell ref="H18:I18"/>
    <mergeCell ref="K18:L18"/>
    <mergeCell ref="N18:R18"/>
    <mergeCell ref="AD19:AF19"/>
    <mergeCell ref="B20:L20"/>
    <mergeCell ref="O20:W20"/>
    <mergeCell ref="AC20:AF20"/>
    <mergeCell ref="D21:K21"/>
    <mergeCell ref="T23:X23"/>
    <mergeCell ref="AA24:AD24"/>
    <mergeCell ref="AG24:AJ24"/>
    <mergeCell ref="B25:L25"/>
    <mergeCell ref="Z25:AD25"/>
    <mergeCell ref="AF25:AJ25"/>
    <mergeCell ref="C22:K23"/>
    <mergeCell ref="O22:R22"/>
    <mergeCell ref="U22:X22"/>
    <mergeCell ref="AA22:AI22"/>
    <mergeCell ref="N23:R23"/>
    <mergeCell ref="B30:L30"/>
    <mergeCell ref="N30:X30"/>
    <mergeCell ref="D26:K26"/>
    <mergeCell ref="O26:R26"/>
    <mergeCell ref="U26:X26"/>
    <mergeCell ref="C27:K28"/>
    <mergeCell ref="N27:R27"/>
    <mergeCell ref="T27:X27"/>
    <mergeCell ref="Z27:AJ27"/>
    <mergeCell ref="AA28:AD28"/>
    <mergeCell ref="AG28:AJ28"/>
    <mergeCell ref="Z29:AD29"/>
    <mergeCell ref="AF29:AJ29"/>
    <mergeCell ref="C37:K38"/>
    <mergeCell ref="O37:W38"/>
    <mergeCell ref="Z37:AJ37"/>
    <mergeCell ref="AB38:AI38"/>
    <mergeCell ref="D31:K31"/>
    <mergeCell ref="P31:W31"/>
    <mergeCell ref="C32:K33"/>
    <mergeCell ref="O32:W33"/>
    <mergeCell ref="Z32:AJ32"/>
    <mergeCell ref="AB33:AI33"/>
    <mergeCell ref="AA34:AI35"/>
    <mergeCell ref="B35:L35"/>
    <mergeCell ref="N35:X35"/>
    <mergeCell ref="D36:K36"/>
    <mergeCell ref="P36:W36"/>
    <mergeCell ref="N45:X45"/>
    <mergeCell ref="P46:W46"/>
    <mergeCell ref="O47:W48"/>
    <mergeCell ref="AA39:AI40"/>
    <mergeCell ref="B40:L40"/>
    <mergeCell ref="N40:X40"/>
    <mergeCell ref="D41:K41"/>
    <mergeCell ref="P41:W41"/>
    <mergeCell ref="C42:K43"/>
    <mergeCell ref="O42:W43"/>
  </mergeCells>
  <printOptions horizontalCentered="1"/>
  <pageMargins left="0.70866141732283472" right="0.70866141732283472" top="1.1811023622047245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>
    <tabColor theme="7" tint="0.39997558519241921"/>
    <pageSetUpPr fitToPage="1"/>
  </sheetPr>
  <dimension ref="B1:I17"/>
  <sheetViews>
    <sheetView workbookViewId="0">
      <selection activeCell="E15" sqref="E15"/>
    </sheetView>
  </sheetViews>
  <sheetFormatPr defaultRowHeight="12.75"/>
  <cols>
    <col min="1" max="1" width="9.140625" style="22"/>
    <col min="2" max="2" width="16.85546875" style="22" customWidth="1"/>
    <col min="3" max="3" width="25.85546875" style="22" customWidth="1"/>
    <col min="4" max="6" width="18.28515625" style="22" customWidth="1"/>
    <col min="7" max="7" width="20" style="22" customWidth="1"/>
    <col min="8" max="8" width="24.7109375" style="22" customWidth="1"/>
    <col min="9" max="9" width="25.42578125" style="22" customWidth="1"/>
    <col min="10" max="16384" width="9.140625" style="22"/>
  </cols>
  <sheetData>
    <row r="1" spans="2:9" ht="5.25" customHeight="1">
      <c r="B1" s="30"/>
      <c r="C1" s="232"/>
      <c r="D1" s="232"/>
      <c r="E1" s="232"/>
      <c r="F1" s="232"/>
      <c r="G1" s="232"/>
      <c r="H1" s="232"/>
      <c r="I1" s="28"/>
    </row>
    <row r="2" spans="2:9" ht="14.25">
      <c r="B2" s="320" t="s">
        <v>80</v>
      </c>
      <c r="C2" s="321"/>
      <c r="D2" s="321"/>
      <c r="E2" s="321"/>
      <c r="F2" s="321"/>
      <c r="G2" s="321"/>
      <c r="H2" s="321"/>
      <c r="I2" s="322"/>
    </row>
    <row r="3" spans="2:9" ht="4.5" customHeight="1">
      <c r="B3" s="26"/>
      <c r="C3" s="226"/>
      <c r="D3" s="226"/>
      <c r="E3" s="226"/>
      <c r="F3" s="226"/>
      <c r="G3" s="226"/>
      <c r="H3" s="226"/>
      <c r="I3" s="27"/>
    </row>
    <row r="4" spans="2:9">
      <c r="B4" s="30" t="s">
        <v>81</v>
      </c>
      <c r="C4" s="229"/>
      <c r="D4" s="229"/>
      <c r="E4" s="229"/>
      <c r="F4" s="229"/>
      <c r="G4" s="229"/>
      <c r="H4" s="229"/>
      <c r="I4" s="31"/>
    </row>
    <row r="5" spans="2:9">
      <c r="B5" s="29" t="s">
        <v>82</v>
      </c>
      <c r="C5" s="226"/>
      <c r="D5" s="226"/>
      <c r="E5" s="226"/>
      <c r="F5" s="226"/>
      <c r="G5" s="226"/>
      <c r="H5" s="226"/>
      <c r="I5" s="27"/>
    </row>
    <row r="6" spans="2:9">
      <c r="B6" s="29" t="s">
        <v>83</v>
      </c>
      <c r="C6" s="226"/>
      <c r="D6" s="226"/>
      <c r="E6" s="226"/>
      <c r="F6" s="226"/>
      <c r="G6" s="226"/>
      <c r="H6" s="226"/>
      <c r="I6" s="27"/>
    </row>
    <row r="7" spans="2:9">
      <c r="B7" s="29" t="s">
        <v>84</v>
      </c>
      <c r="C7" s="226"/>
      <c r="D7" s="226"/>
      <c r="E7" s="226"/>
      <c r="F7" s="226"/>
      <c r="G7" s="226"/>
      <c r="H7" s="226"/>
      <c r="I7" s="27"/>
    </row>
    <row r="8" spans="2:9">
      <c r="B8" s="29" t="s">
        <v>85</v>
      </c>
      <c r="C8" s="226"/>
      <c r="D8" s="226"/>
      <c r="E8" s="226"/>
      <c r="F8" s="226"/>
      <c r="G8" s="226"/>
      <c r="H8" s="226"/>
      <c r="I8" s="27"/>
    </row>
    <row r="9" spans="2:9">
      <c r="B9" s="160"/>
      <c r="C9" s="24"/>
      <c r="D9" s="24"/>
      <c r="E9" s="24"/>
      <c r="F9" s="24"/>
      <c r="G9" s="24"/>
      <c r="H9" s="24"/>
      <c r="I9" s="32"/>
    </row>
    <row r="10" spans="2:9">
      <c r="B10" s="226"/>
      <c r="C10" s="226"/>
      <c r="D10" s="226"/>
      <c r="E10" s="226"/>
      <c r="F10" s="226"/>
      <c r="G10" s="226"/>
      <c r="H10" s="226"/>
      <c r="I10" s="27"/>
    </row>
    <row r="11" spans="2:9" ht="26.25" customHeight="1">
      <c r="B11" s="319" t="s">
        <v>86</v>
      </c>
      <c r="C11" s="319"/>
      <c r="D11" s="319"/>
      <c r="E11" s="319"/>
      <c r="F11" s="319"/>
      <c r="G11" s="319"/>
      <c r="H11" s="319"/>
      <c r="I11" s="319"/>
    </row>
    <row r="12" spans="2:9" ht="26.25" customHeight="1">
      <c r="B12" s="319" t="s">
        <v>9</v>
      </c>
      <c r="C12" s="319" t="s">
        <v>15</v>
      </c>
      <c r="D12" s="319" t="s">
        <v>10</v>
      </c>
      <c r="E12" s="319"/>
      <c r="F12" s="319"/>
      <c r="G12" s="319"/>
      <c r="H12" s="319"/>
      <c r="I12" s="319"/>
    </row>
    <row r="13" spans="2:9" ht="26.25" customHeight="1">
      <c r="B13" s="319"/>
      <c r="C13" s="319"/>
      <c r="D13" s="323" t="s">
        <v>17</v>
      </c>
      <c r="E13" s="323" t="s">
        <v>16</v>
      </c>
      <c r="F13" s="319" t="s">
        <v>11</v>
      </c>
      <c r="G13" s="319"/>
      <c r="H13" s="319" t="s">
        <v>12</v>
      </c>
      <c r="I13" s="319"/>
    </row>
    <row r="14" spans="2:9" ht="26.25" customHeight="1">
      <c r="B14" s="319"/>
      <c r="C14" s="319"/>
      <c r="D14" s="324"/>
      <c r="E14" s="324"/>
      <c r="F14" s="227" t="s">
        <v>13</v>
      </c>
      <c r="G14" s="227" t="s">
        <v>14</v>
      </c>
      <c r="H14" s="227" t="s">
        <v>13</v>
      </c>
      <c r="I14" s="227" t="s">
        <v>14</v>
      </c>
    </row>
    <row r="15" spans="2:9" ht="44.25" customHeight="1">
      <c r="B15" s="228"/>
      <c r="C15" s="230"/>
      <c r="D15" s="143"/>
      <c r="E15" s="143"/>
      <c r="F15" s="231"/>
      <c r="G15" s="231"/>
      <c r="H15" s="144"/>
      <c r="I15" s="144"/>
    </row>
    <row r="16" spans="2:9" ht="44.25" customHeight="1">
      <c r="B16" s="228"/>
      <c r="C16" s="145"/>
      <c r="D16" s="143"/>
      <c r="E16" s="143"/>
      <c r="F16" s="144"/>
      <c r="G16" s="144"/>
      <c r="H16" s="144"/>
      <c r="I16" s="144"/>
    </row>
    <row r="17" spans="2:9" ht="44.25" customHeight="1">
      <c r="B17" s="228"/>
      <c r="C17" s="145"/>
      <c r="D17" s="143"/>
      <c r="E17" s="143"/>
      <c r="F17" s="144"/>
      <c r="G17" s="144"/>
      <c r="H17" s="144"/>
      <c r="I17" s="144"/>
    </row>
  </sheetData>
  <mergeCells count="9">
    <mergeCell ref="F13:G13"/>
    <mergeCell ref="H13:I13"/>
    <mergeCell ref="B2:I2"/>
    <mergeCell ref="B11:I11"/>
    <mergeCell ref="B12:B14"/>
    <mergeCell ref="C12:C14"/>
    <mergeCell ref="D12:I12"/>
    <mergeCell ref="D13:D14"/>
    <mergeCell ref="E13:E1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>
    <tabColor theme="7" tint="0.39997558519241921"/>
    <pageSetUpPr fitToPage="1"/>
  </sheetPr>
  <dimension ref="B1:R23"/>
  <sheetViews>
    <sheetView workbookViewId="0">
      <selection activeCell="G23" sqref="G23"/>
    </sheetView>
  </sheetViews>
  <sheetFormatPr defaultRowHeight="12.75"/>
  <cols>
    <col min="1" max="1" width="2.5703125" style="22" customWidth="1"/>
    <col min="2" max="2" width="19.42578125" style="22" customWidth="1"/>
    <col min="3" max="3" width="15.42578125" style="22" customWidth="1"/>
    <col min="4" max="4" width="16.42578125" style="22" bestFit="1" customWidth="1"/>
    <col min="5" max="5" width="15" style="22" bestFit="1" customWidth="1"/>
    <col min="6" max="9" width="11" style="22" customWidth="1"/>
    <col min="10" max="10" width="13.5703125" style="22" customWidth="1"/>
    <col min="11" max="11" width="10.5703125" style="22" customWidth="1"/>
    <col min="12" max="12" width="17.7109375" style="22" customWidth="1"/>
    <col min="13" max="13" width="16.85546875" style="22" customWidth="1"/>
    <col min="14" max="15" width="12.7109375" style="22" customWidth="1"/>
    <col min="16" max="17" width="13.5703125" style="22" customWidth="1"/>
    <col min="18" max="18" width="25.140625" style="22" customWidth="1"/>
    <col min="19" max="16384" width="9.140625" style="22"/>
  </cols>
  <sheetData>
    <row r="1" spans="2:18" ht="5.25" customHeight="1">
      <c r="B1" s="39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32"/>
    </row>
    <row r="2" spans="2:18" ht="14.25">
      <c r="B2" s="320" t="s">
        <v>88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2"/>
    </row>
    <row r="3" spans="2:18" ht="4.5" customHeight="1">
      <c r="B3" s="26"/>
      <c r="R3" s="27"/>
    </row>
    <row r="4" spans="2:18" ht="65.25" customHeight="1">
      <c r="B4" s="328" t="s">
        <v>217</v>
      </c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30"/>
    </row>
    <row r="5" spans="2:18" ht="27" customHeight="1">
      <c r="B5" s="328" t="s">
        <v>222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30"/>
    </row>
    <row r="6" spans="2:18" ht="52.5" customHeight="1">
      <c r="B6" s="328" t="s">
        <v>218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30"/>
    </row>
    <row r="7" spans="2:18">
      <c r="B7" s="331" t="s">
        <v>221</v>
      </c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3"/>
    </row>
    <row r="8" spans="2:18" ht="12" customHeight="1">
      <c r="B8" s="29"/>
    </row>
    <row r="9" spans="2:18" ht="18.75" customHeight="1">
      <c r="B9" s="334" t="s">
        <v>89</v>
      </c>
      <c r="C9" s="335"/>
      <c r="D9" s="335"/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P9" s="335"/>
      <c r="Q9" s="335"/>
      <c r="R9" s="336"/>
    </row>
    <row r="10" spans="2:18" ht="20.25" customHeight="1">
      <c r="B10" s="337" t="s">
        <v>10</v>
      </c>
      <c r="C10" s="338"/>
      <c r="D10" s="338"/>
      <c r="E10" s="338"/>
      <c r="F10" s="338"/>
      <c r="G10" s="338"/>
      <c r="H10" s="338"/>
      <c r="I10" s="339"/>
      <c r="J10" s="340" t="s">
        <v>18</v>
      </c>
      <c r="K10" s="340"/>
      <c r="L10" s="340"/>
      <c r="M10" s="341" t="s">
        <v>90</v>
      </c>
      <c r="N10" s="341"/>
      <c r="O10" s="341"/>
      <c r="P10" s="326" t="s">
        <v>91</v>
      </c>
      <c r="Q10" s="326" t="s">
        <v>92</v>
      </c>
      <c r="R10" s="336" t="s">
        <v>93</v>
      </c>
    </row>
    <row r="11" spans="2:18" ht="26.25" customHeight="1">
      <c r="B11" s="323" t="s">
        <v>9</v>
      </c>
      <c r="C11" s="323" t="s">
        <v>87</v>
      </c>
      <c r="D11" s="323" t="s">
        <v>17</v>
      </c>
      <c r="E11" s="323" t="s">
        <v>16</v>
      </c>
      <c r="F11" s="327" t="s">
        <v>11</v>
      </c>
      <c r="G11" s="327"/>
      <c r="H11" s="327" t="s">
        <v>12</v>
      </c>
      <c r="I11" s="327"/>
      <c r="J11" s="325" t="s">
        <v>214</v>
      </c>
      <c r="K11" s="325" t="s">
        <v>94</v>
      </c>
      <c r="L11" s="325" t="s">
        <v>212</v>
      </c>
      <c r="M11" s="326" t="s">
        <v>213</v>
      </c>
      <c r="N11" s="327" t="s">
        <v>95</v>
      </c>
      <c r="O11" s="326" t="s">
        <v>96</v>
      </c>
      <c r="P11" s="326"/>
      <c r="Q11" s="326"/>
      <c r="R11" s="336"/>
    </row>
    <row r="12" spans="2:18" ht="26.25" customHeight="1">
      <c r="B12" s="324"/>
      <c r="C12" s="324"/>
      <c r="D12" s="324"/>
      <c r="E12" s="324"/>
      <c r="F12" s="33" t="s">
        <v>13</v>
      </c>
      <c r="G12" s="33" t="s">
        <v>14</v>
      </c>
      <c r="H12" s="33" t="s">
        <v>13</v>
      </c>
      <c r="I12" s="33" t="s">
        <v>14</v>
      </c>
      <c r="J12" s="325"/>
      <c r="K12" s="325"/>
      <c r="L12" s="325"/>
      <c r="M12" s="326"/>
      <c r="N12" s="327"/>
      <c r="O12" s="326"/>
      <c r="P12" s="326"/>
      <c r="Q12" s="326"/>
      <c r="R12" s="336"/>
    </row>
    <row r="13" spans="2:18" ht="44.25" customHeight="1">
      <c r="B13" s="141"/>
      <c r="C13" s="142"/>
      <c r="D13" s="143"/>
      <c r="E13" s="143"/>
      <c r="F13" s="144"/>
      <c r="G13" s="144"/>
      <c r="H13" s="144"/>
      <c r="I13" s="144"/>
      <c r="J13" s="145"/>
      <c r="K13" s="146"/>
      <c r="L13" s="146"/>
      <c r="M13" s="145"/>
      <c r="N13" s="146"/>
      <c r="O13" s="146"/>
      <c r="P13" s="147"/>
      <c r="Q13" s="146"/>
      <c r="R13" s="148"/>
    </row>
    <row r="14" spans="2:18" ht="44.25" customHeight="1">
      <c r="B14" s="141"/>
      <c r="C14" s="142"/>
      <c r="D14" s="143"/>
      <c r="E14" s="143"/>
      <c r="F14" s="144"/>
      <c r="G14" s="144"/>
      <c r="H14" s="144"/>
      <c r="I14" s="144"/>
      <c r="J14" s="145"/>
      <c r="K14" s="146"/>
      <c r="L14" s="146"/>
      <c r="M14" s="149"/>
      <c r="N14" s="146"/>
      <c r="O14" s="149"/>
      <c r="P14" s="147"/>
      <c r="Q14" s="146"/>
      <c r="R14" s="148"/>
    </row>
    <row r="15" spans="2:18" ht="44.25" customHeight="1">
      <c r="B15" s="141"/>
      <c r="C15" s="142"/>
      <c r="D15" s="143"/>
      <c r="E15" s="143"/>
      <c r="F15" s="144"/>
      <c r="G15" s="144"/>
      <c r="H15" s="144"/>
      <c r="I15" s="144"/>
      <c r="J15" s="145"/>
      <c r="K15" s="146"/>
      <c r="L15" s="146"/>
      <c r="M15" s="149"/>
      <c r="N15" s="146"/>
      <c r="O15" s="149"/>
      <c r="P15" s="147"/>
      <c r="Q15" s="146"/>
      <c r="R15" s="148"/>
    </row>
    <row r="16" spans="2:18" ht="44.25" customHeight="1">
      <c r="B16" s="141"/>
      <c r="C16" s="142"/>
      <c r="D16" s="143"/>
      <c r="E16" s="143"/>
      <c r="F16" s="144"/>
      <c r="G16" s="144"/>
      <c r="H16" s="144"/>
      <c r="I16" s="144"/>
      <c r="J16" s="145"/>
      <c r="K16" s="146"/>
      <c r="L16" s="146"/>
      <c r="M16" s="149"/>
      <c r="N16" s="146"/>
      <c r="O16" s="149"/>
      <c r="P16" s="147"/>
      <c r="Q16" s="146"/>
      <c r="R16" s="148"/>
    </row>
    <row r="17" spans="2:18" ht="44.25" customHeight="1">
      <c r="B17" s="141"/>
      <c r="C17" s="142"/>
      <c r="D17" s="143"/>
      <c r="E17" s="143"/>
      <c r="F17" s="144"/>
      <c r="G17" s="144"/>
      <c r="H17" s="144"/>
      <c r="I17" s="144"/>
      <c r="J17" s="145"/>
      <c r="K17" s="146"/>
      <c r="L17" s="146"/>
      <c r="M17" s="149"/>
      <c r="N17" s="146"/>
      <c r="O17" s="149"/>
      <c r="P17" s="147"/>
      <c r="Q17" s="146"/>
      <c r="R17" s="148"/>
    </row>
    <row r="18" spans="2:18" ht="44.25" customHeight="1"/>
    <row r="19" spans="2:18" ht="44.25" customHeight="1">
      <c r="O19" s="44"/>
      <c r="P19" s="44"/>
    </row>
    <row r="20" spans="2:18" ht="44.25" customHeight="1"/>
    <row r="21" spans="2:18" ht="44.25" customHeight="1"/>
    <row r="22" spans="2:18" ht="44.25" customHeight="1"/>
    <row r="23" spans="2:18" ht="44.25" customHeight="1"/>
  </sheetData>
  <mergeCells count="24">
    <mergeCell ref="B5:R5"/>
    <mergeCell ref="B2:R2"/>
    <mergeCell ref="B4:R4"/>
    <mergeCell ref="J11:J12"/>
    <mergeCell ref="B6:R6"/>
    <mergeCell ref="B7:R7"/>
    <mergeCell ref="B9:R9"/>
    <mergeCell ref="B10:I10"/>
    <mergeCell ref="J10:L10"/>
    <mergeCell ref="M10:O10"/>
    <mergeCell ref="P10:P12"/>
    <mergeCell ref="Q10:Q12"/>
    <mergeCell ref="R10:R12"/>
    <mergeCell ref="B11:B12"/>
    <mergeCell ref="C11:C12"/>
    <mergeCell ref="D11:D12"/>
    <mergeCell ref="E11:E12"/>
    <mergeCell ref="F11:G11"/>
    <mergeCell ref="H11:I11"/>
    <mergeCell ref="K11:K12"/>
    <mergeCell ref="L11:L12"/>
    <mergeCell ref="M11:M12"/>
    <mergeCell ref="N11:N12"/>
    <mergeCell ref="O11:O1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6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7">
    <tabColor theme="7" tint="0.39997558519241921"/>
    <pageSetUpPr fitToPage="1"/>
  </sheetPr>
  <dimension ref="B1:O16"/>
  <sheetViews>
    <sheetView workbookViewId="0">
      <selection activeCell="F9" sqref="F9:G9"/>
    </sheetView>
  </sheetViews>
  <sheetFormatPr defaultRowHeight="12.75"/>
  <cols>
    <col min="1" max="1" width="3.28515625" style="22" customWidth="1"/>
    <col min="2" max="2" width="17.5703125" style="22" customWidth="1"/>
    <col min="3" max="3" width="18.140625" style="22" customWidth="1"/>
    <col min="4" max="5" width="13.5703125" style="22" customWidth="1"/>
    <col min="6" max="9" width="11" style="22" customWidth="1"/>
    <col min="10" max="12" width="13.5703125" style="22" customWidth="1"/>
    <col min="13" max="13" width="16.85546875" style="22" customWidth="1"/>
    <col min="14" max="14" width="12.7109375" style="22" customWidth="1"/>
    <col min="15" max="15" width="17.140625" style="22" customWidth="1"/>
    <col min="16" max="16384" width="9.140625" style="22"/>
  </cols>
  <sheetData>
    <row r="1" spans="2:15" ht="5.25" customHeight="1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18"/>
    </row>
    <row r="2" spans="2:15" ht="14.25">
      <c r="B2" s="320" t="s">
        <v>97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2"/>
    </row>
    <row r="3" spans="2:15" ht="4.5" customHeight="1">
      <c r="B3" s="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7"/>
    </row>
    <row r="4" spans="2:15" ht="72" customHeight="1">
      <c r="B4" s="354" t="s">
        <v>215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6"/>
    </row>
    <row r="5" spans="2:15" ht="20.25" customHeight="1">
      <c r="B5" s="351" t="s">
        <v>223</v>
      </c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  <c r="O5" s="353"/>
    </row>
    <row r="6" spans="2:15">
      <c r="B6" s="29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7"/>
    </row>
    <row r="7" spans="2:15" ht="26.25" customHeight="1">
      <c r="B7" s="334" t="s">
        <v>98</v>
      </c>
      <c r="C7" s="335"/>
      <c r="D7" s="335"/>
      <c r="E7" s="335"/>
      <c r="F7" s="335"/>
      <c r="G7" s="335"/>
      <c r="H7" s="335"/>
      <c r="I7" s="335"/>
      <c r="J7" s="335"/>
      <c r="K7" s="335"/>
      <c r="L7" s="335"/>
      <c r="M7" s="335"/>
      <c r="N7" s="335"/>
      <c r="O7" s="336"/>
    </row>
    <row r="8" spans="2:15" ht="26.25" customHeight="1">
      <c r="B8" s="334" t="s">
        <v>10</v>
      </c>
      <c r="C8" s="335"/>
      <c r="D8" s="335"/>
      <c r="E8" s="335"/>
      <c r="F8" s="335"/>
      <c r="G8" s="335"/>
      <c r="H8" s="335"/>
      <c r="I8" s="336"/>
      <c r="J8" s="342" t="s">
        <v>214</v>
      </c>
      <c r="K8" s="345" t="s">
        <v>216</v>
      </c>
      <c r="L8" s="346"/>
      <c r="M8" s="347" t="s">
        <v>99</v>
      </c>
      <c r="N8" s="347" t="s">
        <v>100</v>
      </c>
      <c r="O8" s="347" t="s">
        <v>93</v>
      </c>
    </row>
    <row r="9" spans="2:15" ht="26.25" customHeight="1">
      <c r="B9" s="323" t="s">
        <v>9</v>
      </c>
      <c r="C9" s="323" t="s">
        <v>87</v>
      </c>
      <c r="D9" s="323" t="s">
        <v>17</v>
      </c>
      <c r="E9" s="323" t="s">
        <v>16</v>
      </c>
      <c r="F9" s="319" t="s">
        <v>11</v>
      </c>
      <c r="G9" s="319"/>
      <c r="H9" s="319" t="s">
        <v>12</v>
      </c>
      <c r="I9" s="319"/>
      <c r="J9" s="343"/>
      <c r="K9" s="350" t="s">
        <v>101</v>
      </c>
      <c r="L9" s="350" t="s">
        <v>102</v>
      </c>
      <c r="M9" s="348"/>
      <c r="N9" s="348"/>
      <c r="O9" s="348"/>
    </row>
    <row r="10" spans="2:15" ht="26.25" customHeight="1">
      <c r="B10" s="324"/>
      <c r="C10" s="324"/>
      <c r="D10" s="324"/>
      <c r="E10" s="324"/>
      <c r="F10" s="227" t="s">
        <v>13</v>
      </c>
      <c r="G10" s="227" t="s">
        <v>14</v>
      </c>
      <c r="H10" s="227" t="s">
        <v>13</v>
      </c>
      <c r="I10" s="227" t="s">
        <v>14</v>
      </c>
      <c r="J10" s="344"/>
      <c r="K10" s="350"/>
      <c r="L10" s="350"/>
      <c r="M10" s="349"/>
      <c r="N10" s="349"/>
      <c r="O10" s="349"/>
    </row>
    <row r="11" spans="2:15" ht="44.25" customHeight="1">
      <c r="B11" s="141"/>
      <c r="C11" s="142"/>
      <c r="D11" s="143"/>
      <c r="E11" s="143"/>
      <c r="F11" s="144"/>
      <c r="G11" s="144"/>
      <c r="H11" s="144"/>
      <c r="I11" s="144"/>
      <c r="J11" s="145"/>
      <c r="K11" s="150"/>
      <c r="L11" s="150"/>
      <c r="M11" s="150"/>
      <c r="N11" s="150"/>
      <c r="O11" s="148"/>
    </row>
    <row r="12" spans="2:15" ht="44.25" customHeight="1">
      <c r="B12" s="141"/>
      <c r="C12" s="142"/>
      <c r="D12" s="143"/>
      <c r="E12" s="143"/>
      <c r="F12" s="144"/>
      <c r="G12" s="144"/>
      <c r="H12" s="144"/>
      <c r="I12" s="144"/>
      <c r="J12" s="145"/>
      <c r="K12" s="150"/>
      <c r="L12" s="150"/>
      <c r="M12" s="150"/>
      <c r="N12" s="150"/>
      <c r="O12" s="148"/>
    </row>
    <row r="13" spans="2:15" ht="44.25" customHeight="1">
      <c r="B13" s="141"/>
      <c r="C13" s="142"/>
      <c r="D13" s="143"/>
      <c r="E13" s="143"/>
      <c r="F13" s="144"/>
      <c r="G13" s="144"/>
      <c r="H13" s="144"/>
      <c r="I13" s="144"/>
      <c r="J13" s="145"/>
      <c r="K13" s="150"/>
      <c r="L13" s="150"/>
      <c r="M13" s="150"/>
      <c r="N13" s="150"/>
      <c r="O13" s="148"/>
    </row>
    <row r="14" spans="2:15" ht="44.25" customHeight="1">
      <c r="B14" s="141"/>
      <c r="C14" s="142"/>
      <c r="D14" s="143"/>
      <c r="E14" s="143"/>
      <c r="F14" s="144"/>
      <c r="G14" s="144"/>
      <c r="H14" s="144"/>
      <c r="I14" s="144"/>
      <c r="J14" s="145"/>
      <c r="K14" s="150"/>
      <c r="L14" s="150"/>
      <c r="M14" s="150"/>
      <c r="N14" s="150"/>
      <c r="O14" s="148"/>
    </row>
    <row r="15" spans="2:15" ht="44.25" customHeight="1">
      <c r="B15" s="141"/>
      <c r="C15" s="142"/>
      <c r="D15" s="143"/>
      <c r="E15" s="143"/>
      <c r="F15" s="144"/>
      <c r="G15" s="144"/>
      <c r="H15" s="144"/>
      <c r="I15" s="144"/>
      <c r="J15" s="145"/>
      <c r="K15" s="150"/>
      <c r="L15" s="150"/>
      <c r="M15" s="150"/>
      <c r="N15" s="150"/>
      <c r="O15" s="148"/>
    </row>
    <row r="16" spans="2:15" ht="44.25" customHeight="1">
      <c r="B16" s="46"/>
      <c r="C16" s="47"/>
      <c r="D16" s="48"/>
      <c r="E16" s="48"/>
      <c r="F16" s="47"/>
      <c r="G16" s="47"/>
      <c r="H16" s="47"/>
      <c r="I16" s="47"/>
      <c r="J16" s="47"/>
      <c r="K16" s="49"/>
      <c r="L16" s="49"/>
      <c r="M16" s="50"/>
      <c r="N16" s="50"/>
      <c r="O16" s="51"/>
    </row>
  </sheetData>
  <mergeCells count="18">
    <mergeCell ref="B5:O5"/>
    <mergeCell ref="B2:O2"/>
    <mergeCell ref="B4:O4"/>
    <mergeCell ref="B7:O7"/>
    <mergeCell ref="B8:I8"/>
    <mergeCell ref="J8:J10"/>
    <mergeCell ref="K8:L8"/>
    <mergeCell ref="M8:M10"/>
    <mergeCell ref="N8:N10"/>
    <mergeCell ref="O8:O10"/>
    <mergeCell ref="B9:B10"/>
    <mergeCell ref="C9:C10"/>
    <mergeCell ref="D9:D10"/>
    <mergeCell ref="E9:E10"/>
    <mergeCell ref="F9:G9"/>
    <mergeCell ref="H9:I9"/>
    <mergeCell ref="K9:K10"/>
    <mergeCell ref="L9:L10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9">
    <tabColor theme="7" tint="0.39997558519241921"/>
    <pageSetUpPr fitToPage="1"/>
  </sheetPr>
  <dimension ref="B1:Y1399"/>
  <sheetViews>
    <sheetView zoomScaleNormal="100" zoomScaleSheetLayoutView="100" workbookViewId="0">
      <selection activeCell="I38" sqref="I38"/>
    </sheetView>
  </sheetViews>
  <sheetFormatPr defaultRowHeight="12.75"/>
  <cols>
    <col min="1" max="1" width="2.7109375" style="22" customWidth="1"/>
    <col min="2" max="2" width="19.28515625" style="22" customWidth="1"/>
    <col min="3" max="3" width="14.140625" style="22" customWidth="1"/>
    <col min="4" max="5" width="13.5703125" style="42" customWidth="1"/>
    <col min="6" max="10" width="11" style="22" customWidth="1"/>
    <col min="11" max="11" width="15.28515625" style="22" customWidth="1"/>
    <col min="12" max="12" width="13.5703125" style="22" customWidth="1"/>
    <col min="13" max="13" width="13.5703125" style="42" customWidth="1"/>
    <col min="14" max="14" width="16.85546875" style="22" customWidth="1"/>
    <col min="15" max="16" width="12.7109375" style="22" customWidth="1"/>
    <col min="17" max="17" width="22.7109375" style="22" bestFit="1" customWidth="1"/>
    <col min="18" max="18" width="2.5703125" style="22" customWidth="1"/>
    <col min="19" max="16384" width="9.140625" style="22"/>
  </cols>
  <sheetData>
    <row r="1" spans="2:25" ht="5.25" customHeight="1">
      <c r="B1" s="39"/>
      <c r="C1" s="24"/>
      <c r="D1" s="52"/>
      <c r="E1" s="52"/>
      <c r="F1" s="24"/>
      <c r="G1" s="24"/>
      <c r="H1" s="24"/>
      <c r="I1" s="24"/>
      <c r="J1" s="24"/>
      <c r="K1" s="24"/>
      <c r="L1" s="24"/>
      <c r="M1" s="52"/>
      <c r="N1" s="24"/>
      <c r="O1" s="24"/>
      <c r="P1" s="24"/>
      <c r="Q1" s="32"/>
    </row>
    <row r="2" spans="2:25" ht="14.25">
      <c r="B2" s="320" t="s">
        <v>103</v>
      </c>
      <c r="C2" s="321"/>
      <c r="D2" s="358"/>
      <c r="E2" s="358"/>
      <c r="F2" s="321"/>
      <c r="G2" s="321"/>
      <c r="H2" s="321"/>
      <c r="I2" s="321"/>
      <c r="J2" s="321"/>
      <c r="K2" s="321"/>
      <c r="L2" s="321"/>
      <c r="M2" s="358"/>
      <c r="N2" s="321"/>
      <c r="O2" s="321"/>
      <c r="P2" s="321"/>
      <c r="Q2" s="322"/>
    </row>
    <row r="3" spans="2:25" ht="4.5" customHeight="1">
      <c r="B3" s="26"/>
      <c r="Q3" s="27"/>
    </row>
    <row r="4" spans="2:25" ht="72" customHeight="1">
      <c r="B4" s="354" t="s">
        <v>226</v>
      </c>
      <c r="C4" s="359"/>
      <c r="D4" s="360"/>
      <c r="E4" s="360"/>
      <c r="F4" s="359"/>
      <c r="G4" s="359"/>
      <c r="H4" s="359"/>
      <c r="I4" s="359"/>
      <c r="J4" s="359"/>
      <c r="K4" s="359"/>
      <c r="L4" s="359"/>
      <c r="M4" s="360"/>
      <c r="N4" s="359"/>
      <c r="O4" s="359"/>
      <c r="P4" s="359"/>
      <c r="Q4" s="356"/>
      <c r="T4" s="23"/>
      <c r="U4" s="23"/>
    </row>
    <row r="5" spans="2:25" ht="34.5" customHeight="1">
      <c r="B5" s="328" t="s">
        <v>229</v>
      </c>
      <c r="C5" s="329"/>
      <c r="D5" s="357"/>
      <c r="E5" s="357"/>
      <c r="F5" s="329"/>
      <c r="G5" s="329"/>
      <c r="H5" s="329"/>
      <c r="I5" s="329"/>
      <c r="J5" s="329"/>
      <c r="K5" s="329"/>
      <c r="L5" s="329"/>
      <c r="M5" s="357"/>
      <c r="N5" s="329"/>
      <c r="O5" s="329"/>
      <c r="P5" s="329"/>
      <c r="Q5" s="330"/>
      <c r="T5" s="23"/>
      <c r="U5" s="23"/>
    </row>
    <row r="6" spans="2:25" ht="22.5" customHeight="1">
      <c r="B6" s="328" t="s">
        <v>224</v>
      </c>
      <c r="C6" s="329"/>
      <c r="D6" s="357"/>
      <c r="E6" s="357"/>
      <c r="F6" s="329"/>
      <c r="G6" s="329"/>
      <c r="H6" s="329"/>
      <c r="I6" s="329"/>
      <c r="J6" s="329"/>
      <c r="K6" s="329"/>
      <c r="L6" s="53"/>
      <c r="M6" s="54"/>
      <c r="N6" s="53"/>
      <c r="O6" s="53"/>
      <c r="P6" s="53"/>
      <c r="Q6" s="55"/>
      <c r="T6" s="23"/>
      <c r="U6" s="23"/>
    </row>
    <row r="7" spans="2:25" ht="21" customHeight="1">
      <c r="B7" s="351" t="s">
        <v>225</v>
      </c>
      <c r="C7" s="352"/>
      <c r="D7" s="361"/>
      <c r="E7" s="361"/>
      <c r="F7" s="352"/>
      <c r="G7" s="352"/>
      <c r="H7" s="352"/>
      <c r="I7" s="352"/>
      <c r="J7" s="352"/>
      <c r="K7" s="352"/>
      <c r="L7" s="56"/>
      <c r="M7" s="57"/>
      <c r="N7" s="56"/>
      <c r="O7" s="56"/>
      <c r="P7" s="56"/>
      <c r="Q7" s="58"/>
      <c r="T7" s="23"/>
      <c r="U7" s="23"/>
    </row>
    <row r="8" spans="2:25" ht="26.25" customHeight="1">
      <c r="B8" s="362" t="s">
        <v>104</v>
      </c>
      <c r="C8" s="363"/>
      <c r="D8" s="364"/>
      <c r="E8" s="364"/>
      <c r="F8" s="363"/>
      <c r="G8" s="363"/>
      <c r="H8" s="363"/>
      <c r="I8" s="363"/>
      <c r="J8" s="363"/>
      <c r="K8" s="363"/>
      <c r="L8" s="363"/>
      <c r="M8" s="364"/>
      <c r="N8" s="363"/>
      <c r="O8" s="363"/>
      <c r="P8" s="363"/>
      <c r="Q8" s="363"/>
      <c r="T8" s="23"/>
      <c r="U8" s="23"/>
    </row>
    <row r="9" spans="2:25" ht="26.25" customHeight="1">
      <c r="B9" s="334" t="s">
        <v>10</v>
      </c>
      <c r="C9" s="335"/>
      <c r="D9" s="365"/>
      <c r="E9" s="365"/>
      <c r="F9" s="335"/>
      <c r="G9" s="335"/>
      <c r="H9" s="335"/>
      <c r="I9" s="335"/>
      <c r="J9" s="336"/>
      <c r="K9" s="342" t="s">
        <v>105</v>
      </c>
      <c r="L9" s="342" t="s">
        <v>106</v>
      </c>
      <c r="M9" s="342" t="s">
        <v>107</v>
      </c>
      <c r="N9" s="342" t="s">
        <v>108</v>
      </c>
      <c r="O9" s="342" t="s">
        <v>109</v>
      </c>
      <c r="P9" s="342" t="s">
        <v>110</v>
      </c>
      <c r="Q9" s="342" t="s">
        <v>93</v>
      </c>
    </row>
    <row r="10" spans="2:25" ht="26.25" customHeight="1">
      <c r="B10" s="323" t="s">
        <v>9</v>
      </c>
      <c r="C10" s="323" t="s">
        <v>15</v>
      </c>
      <c r="D10" s="366" t="s">
        <v>17</v>
      </c>
      <c r="E10" s="366" t="s">
        <v>16</v>
      </c>
      <c r="F10" s="327" t="s">
        <v>11</v>
      </c>
      <c r="G10" s="327"/>
      <c r="H10" s="327" t="s">
        <v>12</v>
      </c>
      <c r="I10" s="327"/>
      <c r="J10" s="323" t="s">
        <v>111</v>
      </c>
      <c r="K10" s="343"/>
      <c r="L10" s="343"/>
      <c r="M10" s="343"/>
      <c r="N10" s="343"/>
      <c r="O10" s="343"/>
      <c r="P10" s="343"/>
      <c r="Q10" s="343"/>
    </row>
    <row r="11" spans="2:25" ht="26.25" customHeight="1">
      <c r="B11" s="324"/>
      <c r="C11" s="324"/>
      <c r="D11" s="367"/>
      <c r="E11" s="367"/>
      <c r="F11" s="33" t="s">
        <v>13</v>
      </c>
      <c r="G11" s="33" t="s">
        <v>14</v>
      </c>
      <c r="H11" s="33" t="s">
        <v>13</v>
      </c>
      <c r="I11" s="33" t="s">
        <v>14</v>
      </c>
      <c r="J11" s="324"/>
      <c r="K11" s="344"/>
      <c r="L11" s="344"/>
      <c r="M11" s="344"/>
      <c r="N11" s="344"/>
      <c r="O11" s="344"/>
      <c r="P11" s="344"/>
      <c r="Q11" s="344"/>
    </row>
    <row r="12" spans="2:25" ht="44.25" customHeight="1">
      <c r="B12" s="34"/>
      <c r="C12" s="35"/>
      <c r="D12" s="45"/>
      <c r="E12" s="45"/>
      <c r="F12" s="59"/>
      <c r="G12" s="59"/>
      <c r="H12" s="59"/>
      <c r="I12" s="59"/>
      <c r="J12" s="38"/>
      <c r="K12" s="34"/>
      <c r="L12" s="40"/>
      <c r="M12" s="45"/>
      <c r="N12" s="45"/>
      <c r="O12" s="45"/>
      <c r="P12" s="45"/>
      <c r="Q12" s="38"/>
      <c r="Y12" s="42"/>
    </row>
    <row r="13" spans="2:25" ht="44.25" customHeight="1">
      <c r="B13" s="34"/>
      <c r="C13" s="35"/>
      <c r="D13" s="45"/>
      <c r="E13" s="45"/>
      <c r="F13" s="59"/>
      <c r="G13" s="59"/>
      <c r="H13" s="59"/>
      <c r="I13" s="59"/>
      <c r="J13" s="38"/>
      <c r="K13" s="34"/>
      <c r="L13" s="40"/>
      <c r="M13" s="45"/>
      <c r="N13" s="45"/>
      <c r="O13" s="45"/>
      <c r="P13" s="45"/>
      <c r="Q13" s="38"/>
      <c r="Y13" s="42"/>
    </row>
    <row r="14" spans="2:25" ht="44.25" customHeight="1">
      <c r="B14" s="34"/>
      <c r="C14" s="35"/>
      <c r="D14" s="45"/>
      <c r="E14" s="45"/>
      <c r="F14" s="59"/>
      <c r="G14" s="59"/>
      <c r="H14" s="59"/>
      <c r="I14" s="59"/>
      <c r="J14" s="34"/>
      <c r="K14" s="34"/>
      <c r="L14" s="40"/>
      <c r="M14" s="45"/>
      <c r="N14" s="45"/>
      <c r="O14" s="45"/>
      <c r="P14" s="45"/>
      <c r="Q14" s="38"/>
      <c r="Y14" s="42"/>
    </row>
    <row r="15" spans="2:25" ht="44.25" customHeight="1">
      <c r="B15" s="34"/>
      <c r="C15" s="35"/>
      <c r="D15" s="45"/>
      <c r="E15" s="45"/>
      <c r="F15" s="59"/>
      <c r="G15" s="59"/>
      <c r="H15" s="59"/>
      <c r="I15" s="59"/>
      <c r="J15" s="38"/>
      <c r="K15" s="34"/>
      <c r="L15" s="40"/>
      <c r="M15" s="45"/>
      <c r="N15" s="45"/>
      <c r="O15" s="45"/>
      <c r="P15" s="45"/>
      <c r="Q15" s="38"/>
      <c r="Y15" s="42"/>
    </row>
    <row r="16" spans="2:25" ht="44.25" customHeight="1">
      <c r="B16" s="34"/>
      <c r="C16" s="35"/>
      <c r="D16" s="45"/>
      <c r="E16" s="45"/>
      <c r="F16" s="59"/>
      <c r="G16" s="59"/>
      <c r="H16" s="59"/>
      <c r="I16" s="59"/>
      <c r="J16" s="38"/>
      <c r="K16" s="34"/>
      <c r="L16" s="40"/>
      <c r="M16" s="45"/>
      <c r="N16" s="45"/>
      <c r="O16" s="45"/>
      <c r="P16" s="45"/>
      <c r="Q16" s="38"/>
      <c r="Y16" s="42"/>
    </row>
    <row r="17" spans="2:25" ht="44.25" customHeight="1">
      <c r="B17" s="34"/>
      <c r="C17" s="35"/>
      <c r="D17" s="45"/>
      <c r="E17" s="45"/>
      <c r="F17" s="59"/>
      <c r="G17" s="59"/>
      <c r="H17" s="59"/>
      <c r="I17" s="59"/>
      <c r="J17" s="38"/>
      <c r="K17" s="34"/>
      <c r="L17" s="40"/>
      <c r="M17" s="45"/>
      <c r="N17" s="45"/>
      <c r="O17" s="45"/>
      <c r="P17" s="45"/>
      <c r="Q17" s="38"/>
      <c r="Y17" s="42"/>
    </row>
    <row r="18" spans="2:25" ht="44.25" customHeight="1">
      <c r="B18" s="34"/>
      <c r="C18" s="35"/>
      <c r="D18" s="45"/>
      <c r="E18" s="45"/>
      <c r="F18" s="37"/>
      <c r="G18" s="37"/>
      <c r="H18" s="59"/>
      <c r="I18" s="59"/>
      <c r="J18" s="38"/>
      <c r="K18" s="34"/>
      <c r="L18" s="40"/>
      <c r="M18" s="45"/>
      <c r="N18" s="45"/>
      <c r="O18" s="45"/>
      <c r="P18" s="45"/>
      <c r="Q18" s="38"/>
      <c r="Y18" s="42"/>
    </row>
    <row r="1399" spans="5:5">
      <c r="E1399" s="60"/>
    </row>
  </sheetData>
  <mergeCells count="21">
    <mergeCell ref="Q9:Q11"/>
    <mergeCell ref="E10:E11"/>
    <mergeCell ref="F10:G10"/>
    <mergeCell ref="H10:I10"/>
    <mergeCell ref="J10:J11"/>
    <mergeCell ref="M9:M11"/>
    <mergeCell ref="N9:N11"/>
    <mergeCell ref="B5:Q5"/>
    <mergeCell ref="B2:Q2"/>
    <mergeCell ref="B4:Q4"/>
    <mergeCell ref="B6:K6"/>
    <mergeCell ref="B7:K7"/>
    <mergeCell ref="B8:Q8"/>
    <mergeCell ref="B9:J9"/>
    <mergeCell ref="K9:K11"/>
    <mergeCell ref="L9:L11"/>
    <mergeCell ref="O9:O11"/>
    <mergeCell ref="P9:P11"/>
    <mergeCell ref="B10:B11"/>
    <mergeCell ref="C10:C11"/>
    <mergeCell ref="D10:D1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0">
    <tabColor theme="7" tint="0.39997558519241921"/>
    <pageSetUpPr fitToPage="1"/>
  </sheetPr>
  <dimension ref="B1:R133"/>
  <sheetViews>
    <sheetView zoomScaleNormal="100" zoomScaleSheetLayoutView="100" workbookViewId="0">
      <selection activeCell="B9" sqref="B9:J9"/>
    </sheetView>
  </sheetViews>
  <sheetFormatPr defaultRowHeight="12.75"/>
  <cols>
    <col min="1" max="1" width="2.42578125" style="22" customWidth="1"/>
    <col min="2" max="4" width="13.5703125" style="22" customWidth="1"/>
    <col min="5" max="5" width="13.5703125" style="61" customWidth="1"/>
    <col min="6" max="10" width="11" style="22" customWidth="1"/>
    <col min="11" max="11" width="15.140625" style="22" customWidth="1"/>
    <col min="12" max="13" width="13.5703125" style="22" customWidth="1"/>
    <col min="14" max="14" width="16.85546875" style="22" customWidth="1"/>
    <col min="15" max="16" width="12.7109375" style="22" customWidth="1"/>
    <col min="17" max="17" width="18.42578125" style="22" customWidth="1"/>
    <col min="18" max="18" width="4.42578125" style="22" customWidth="1"/>
    <col min="19" max="16384" width="9.140625" style="22"/>
  </cols>
  <sheetData>
    <row r="1" spans="2:18">
      <c r="B1" s="219"/>
      <c r="C1" s="220"/>
      <c r="D1" s="220"/>
      <c r="E1" s="235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18"/>
    </row>
    <row r="2" spans="2:18" ht="14.25">
      <c r="B2" s="369" t="s">
        <v>112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1"/>
    </row>
    <row r="3" spans="2:18" ht="4.5" customHeight="1">
      <c r="B3" s="26"/>
      <c r="C3" s="226"/>
      <c r="D3" s="226"/>
      <c r="E3" s="233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7"/>
    </row>
    <row r="4" spans="2:18" ht="72" customHeight="1">
      <c r="B4" s="354" t="s">
        <v>227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6"/>
    </row>
    <row r="5" spans="2:18" ht="29.25" customHeight="1">
      <c r="B5" s="328" t="s">
        <v>230</v>
      </c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30"/>
    </row>
    <row r="6" spans="2:18" ht="15.75" customHeight="1">
      <c r="B6" s="328" t="s">
        <v>228</v>
      </c>
      <c r="C6" s="368"/>
      <c r="D6" s="368"/>
      <c r="E6" s="368"/>
      <c r="F6" s="368"/>
      <c r="G6" s="368"/>
      <c r="H6" s="368"/>
      <c r="I6" s="368"/>
      <c r="J6" s="368"/>
      <c r="K6" s="368"/>
      <c r="L6" s="234"/>
      <c r="M6" s="234"/>
      <c r="N6" s="234"/>
      <c r="O6" s="234"/>
      <c r="P6" s="234"/>
      <c r="Q6" s="159"/>
    </row>
    <row r="7" spans="2:18" ht="16.5" customHeight="1">
      <c r="B7" s="351" t="s">
        <v>219</v>
      </c>
      <c r="C7" s="352"/>
      <c r="D7" s="352"/>
      <c r="E7" s="352"/>
      <c r="F7" s="352"/>
      <c r="G7" s="352"/>
      <c r="H7" s="352"/>
      <c r="I7" s="352"/>
      <c r="J7" s="352"/>
      <c r="K7" s="352"/>
      <c r="L7" s="161"/>
      <c r="M7" s="161"/>
      <c r="N7" s="161"/>
      <c r="O7" s="161"/>
      <c r="P7" s="161"/>
      <c r="Q7" s="162"/>
    </row>
    <row r="8" spans="2:18" ht="26.25" customHeight="1">
      <c r="B8" s="334" t="s">
        <v>113</v>
      </c>
      <c r="C8" s="335"/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6"/>
    </row>
    <row r="9" spans="2:18" ht="26.25" customHeight="1">
      <c r="B9" s="334" t="s">
        <v>10</v>
      </c>
      <c r="C9" s="335"/>
      <c r="D9" s="335"/>
      <c r="E9" s="335"/>
      <c r="F9" s="335"/>
      <c r="G9" s="335"/>
      <c r="H9" s="335"/>
      <c r="I9" s="335"/>
      <c r="J9" s="336"/>
      <c r="K9" s="342" t="s">
        <v>105</v>
      </c>
      <c r="L9" s="342" t="s">
        <v>106</v>
      </c>
      <c r="M9" s="342" t="s">
        <v>107</v>
      </c>
      <c r="N9" s="342" t="s">
        <v>114</v>
      </c>
      <c r="O9" s="342" t="s">
        <v>109</v>
      </c>
      <c r="P9" s="342" t="s">
        <v>115</v>
      </c>
      <c r="Q9" s="342" t="s">
        <v>93</v>
      </c>
    </row>
    <row r="10" spans="2:18" ht="26.25" customHeight="1">
      <c r="B10" s="323" t="s">
        <v>9</v>
      </c>
      <c r="C10" s="323" t="s">
        <v>15</v>
      </c>
      <c r="D10" s="323" t="s">
        <v>17</v>
      </c>
      <c r="E10" s="323" t="s">
        <v>16</v>
      </c>
      <c r="F10" s="319" t="s">
        <v>11</v>
      </c>
      <c r="G10" s="319"/>
      <c r="H10" s="319" t="s">
        <v>12</v>
      </c>
      <c r="I10" s="319"/>
      <c r="J10" s="323" t="s">
        <v>111</v>
      </c>
      <c r="K10" s="343"/>
      <c r="L10" s="343"/>
      <c r="M10" s="343"/>
      <c r="N10" s="343"/>
      <c r="O10" s="343"/>
      <c r="P10" s="343"/>
      <c r="Q10" s="343"/>
    </row>
    <row r="11" spans="2:18" ht="26.25" customHeight="1">
      <c r="B11" s="324"/>
      <c r="C11" s="324"/>
      <c r="D11" s="324"/>
      <c r="E11" s="324"/>
      <c r="F11" s="227" t="s">
        <v>13</v>
      </c>
      <c r="G11" s="227" t="s">
        <v>14</v>
      </c>
      <c r="H11" s="227" t="s">
        <v>13</v>
      </c>
      <c r="I11" s="227" t="s">
        <v>14</v>
      </c>
      <c r="J11" s="324"/>
      <c r="K11" s="344"/>
      <c r="L11" s="344"/>
      <c r="M11" s="344"/>
      <c r="N11" s="344"/>
      <c r="O11" s="344"/>
      <c r="P11" s="344"/>
      <c r="Q11" s="344"/>
    </row>
    <row r="12" spans="2:18" ht="44.25" customHeight="1">
      <c r="B12" s="228"/>
      <c r="C12" s="230"/>
      <c r="D12" s="143"/>
      <c r="E12" s="143"/>
      <c r="F12" s="144"/>
      <c r="G12" s="144"/>
      <c r="H12" s="144"/>
      <c r="I12" s="144"/>
      <c r="J12" s="228"/>
      <c r="K12" s="228"/>
      <c r="L12" s="145"/>
      <c r="M12" s="143"/>
      <c r="N12" s="143"/>
      <c r="O12" s="143"/>
      <c r="P12" s="143"/>
      <c r="Q12" s="145"/>
      <c r="R12" s="42"/>
    </row>
    <row r="13" spans="2:18" ht="44.25" customHeight="1">
      <c r="B13" s="34"/>
      <c r="C13" s="35"/>
      <c r="D13" s="36"/>
      <c r="E13" s="36"/>
      <c r="F13" s="37"/>
      <c r="G13" s="37"/>
      <c r="H13" s="37"/>
      <c r="I13" s="37"/>
      <c r="J13" s="34"/>
      <c r="K13" s="34"/>
      <c r="L13" s="38"/>
      <c r="M13" s="36"/>
      <c r="N13" s="36"/>
      <c r="O13" s="36"/>
      <c r="P13" s="36"/>
      <c r="Q13" s="38"/>
      <c r="R13" s="42"/>
    </row>
    <row r="14" spans="2:18" ht="44.25" customHeight="1">
      <c r="B14" s="34"/>
      <c r="C14" s="35"/>
      <c r="D14" s="36"/>
      <c r="E14" s="36"/>
      <c r="F14" s="37"/>
      <c r="G14" s="37"/>
      <c r="H14" s="37"/>
      <c r="I14" s="37"/>
      <c r="J14" s="34"/>
      <c r="K14" s="34"/>
      <c r="L14" s="38"/>
      <c r="M14" s="36"/>
      <c r="N14" s="36"/>
      <c r="O14" s="36"/>
      <c r="P14" s="36"/>
      <c r="Q14" s="38"/>
      <c r="R14" s="42"/>
    </row>
    <row r="15" spans="2:18" ht="44.25" customHeight="1">
      <c r="B15" s="34"/>
      <c r="C15" s="35"/>
      <c r="D15" s="36"/>
      <c r="E15" s="36"/>
      <c r="F15" s="37"/>
      <c r="G15" s="37"/>
      <c r="H15" s="37"/>
      <c r="I15" s="37"/>
      <c r="J15" s="34"/>
      <c r="K15" s="34"/>
      <c r="L15" s="38"/>
      <c r="M15" s="36"/>
      <c r="N15" s="36"/>
      <c r="O15" s="36"/>
      <c r="P15" s="36"/>
      <c r="Q15" s="38"/>
      <c r="R15" s="42"/>
    </row>
    <row r="16" spans="2:18" ht="44.25" customHeight="1">
      <c r="B16" s="34"/>
      <c r="C16" s="35"/>
      <c r="D16" s="36"/>
      <c r="E16" s="36"/>
      <c r="F16" s="37"/>
      <c r="G16" s="37"/>
      <c r="H16" s="37"/>
      <c r="I16" s="37"/>
      <c r="J16" s="34"/>
      <c r="K16" s="34"/>
      <c r="L16" s="38"/>
      <c r="M16" s="36"/>
      <c r="N16" s="36"/>
      <c r="O16" s="36"/>
      <c r="P16" s="36"/>
      <c r="Q16" s="38"/>
      <c r="R16" s="42"/>
    </row>
    <row r="17" spans="2:18" ht="44.25" customHeight="1">
      <c r="B17" s="34"/>
      <c r="C17" s="35"/>
      <c r="D17" s="36"/>
      <c r="E17" s="36"/>
      <c r="F17" s="37"/>
      <c r="G17" s="37"/>
      <c r="H17" s="37"/>
      <c r="I17" s="37"/>
      <c r="J17" s="34"/>
      <c r="K17" s="34"/>
      <c r="L17" s="38"/>
      <c r="M17" s="36"/>
      <c r="N17" s="36"/>
      <c r="O17" s="36"/>
      <c r="P17" s="36"/>
      <c r="Q17" s="38"/>
      <c r="R17" s="42"/>
    </row>
    <row r="18" spans="2:18" ht="44.25" customHeight="1"/>
    <row r="19" spans="2:18" ht="44.25" customHeight="1"/>
    <row r="20" spans="2:18" ht="44.25" customHeight="1"/>
    <row r="21" spans="2:18" ht="44.25" customHeight="1"/>
    <row r="22" spans="2:18" ht="44.25" customHeight="1"/>
    <row r="23" spans="2:18" ht="44.25" customHeight="1"/>
    <row r="24" spans="2:18" ht="44.25" customHeight="1"/>
    <row r="25" spans="2:18" ht="44.25" customHeight="1"/>
    <row r="26" spans="2:18" ht="44.25" customHeight="1"/>
    <row r="27" spans="2:18" ht="44.25" customHeight="1"/>
    <row r="28" spans="2:18" ht="44.25" customHeight="1"/>
    <row r="29" spans="2:18" ht="44.25" customHeight="1"/>
    <row r="30" spans="2:18" ht="44.25" customHeight="1"/>
    <row r="31" spans="2:18" ht="44.25" customHeight="1"/>
    <row r="32" spans="2:18" ht="44.25" customHeight="1"/>
    <row r="33" ht="44.25" customHeight="1"/>
    <row r="34" ht="44.25" customHeight="1"/>
    <row r="35" ht="44.25" customHeight="1"/>
    <row r="36" ht="44.25" customHeight="1"/>
    <row r="37" ht="44.25" customHeight="1"/>
    <row r="38" ht="44.25" customHeight="1"/>
    <row r="39" ht="44.25" customHeight="1"/>
    <row r="40" ht="44.25" customHeight="1"/>
    <row r="41" ht="44.25" customHeight="1"/>
    <row r="42" ht="44.25" customHeight="1"/>
    <row r="43" ht="44.25" customHeight="1"/>
    <row r="44" ht="44.25" customHeight="1"/>
    <row r="45" ht="44.25" customHeight="1"/>
    <row r="46" ht="44.25" customHeight="1"/>
    <row r="47" ht="44.25" customHeight="1"/>
    <row r="48" ht="44.25" customHeight="1"/>
    <row r="49" ht="44.25" customHeight="1"/>
    <row r="50" ht="44.25" customHeight="1"/>
    <row r="51" ht="44.25" customHeight="1"/>
    <row r="52" ht="44.25" customHeight="1"/>
    <row r="53" ht="44.25" customHeight="1"/>
    <row r="54" ht="44.25" customHeight="1"/>
    <row r="55" ht="44.25" customHeight="1"/>
    <row r="56" ht="44.25" customHeight="1"/>
    <row r="57" ht="44.25" customHeight="1"/>
    <row r="58" ht="44.25" customHeight="1"/>
    <row r="59" ht="44.25" customHeight="1"/>
    <row r="60" ht="44.25" customHeight="1"/>
    <row r="61" ht="44.25" customHeight="1"/>
    <row r="62" ht="44.25" customHeight="1"/>
    <row r="63" ht="44.25" customHeight="1"/>
    <row r="64" ht="44.25" customHeight="1"/>
    <row r="65" ht="44.25" customHeight="1"/>
    <row r="66" ht="44.25" customHeight="1"/>
    <row r="67" ht="44.25" customHeight="1"/>
    <row r="68" ht="44.25" customHeight="1"/>
    <row r="69" ht="44.25" customHeight="1"/>
    <row r="70" ht="44.25" customHeight="1"/>
    <row r="71" ht="44.25" customHeight="1"/>
    <row r="72" ht="44.25" customHeight="1"/>
    <row r="73" ht="44.25" customHeight="1"/>
    <row r="74" ht="44.25" customHeight="1"/>
    <row r="75" ht="44.25" customHeight="1"/>
    <row r="76" ht="44.25" customHeight="1"/>
    <row r="77" ht="44.25" customHeight="1"/>
    <row r="78" ht="44.25" customHeight="1"/>
    <row r="79" ht="44.25" customHeight="1"/>
    <row r="80" ht="44.25" customHeight="1"/>
    <row r="81" ht="44.25" customHeight="1"/>
    <row r="82" ht="44.25" customHeight="1"/>
    <row r="83" ht="44.25" customHeight="1"/>
    <row r="84" ht="44.25" customHeight="1"/>
    <row r="85" ht="44.25" customHeight="1"/>
    <row r="86" ht="44.25" customHeight="1"/>
    <row r="87" ht="44.25" customHeight="1"/>
    <row r="88" ht="44.25" customHeight="1"/>
    <row r="89" ht="44.25" customHeight="1"/>
    <row r="90" ht="44.25" customHeight="1"/>
    <row r="91" ht="44.25" customHeight="1"/>
    <row r="92" ht="44.25" customHeight="1"/>
    <row r="93" ht="44.25" customHeight="1"/>
    <row r="94" ht="44.25" customHeight="1"/>
    <row r="95" ht="44.25" customHeight="1"/>
    <row r="96" ht="44.25" customHeight="1"/>
    <row r="97" ht="44.25" customHeight="1"/>
    <row r="98" ht="44.25" customHeight="1"/>
    <row r="99" ht="44.25" customHeight="1"/>
    <row r="100" ht="44.25" customHeight="1"/>
    <row r="101" ht="44.25" customHeight="1"/>
    <row r="102" ht="44.25" customHeight="1"/>
    <row r="103" ht="44.25" customHeight="1"/>
    <row r="104" ht="44.25" customHeight="1"/>
    <row r="105" ht="44.25" customHeight="1"/>
    <row r="106" ht="44.25" customHeight="1"/>
    <row r="107" ht="44.25" customHeight="1"/>
    <row r="108" ht="44.25" customHeight="1"/>
    <row r="109" ht="44.25" customHeight="1"/>
    <row r="110" ht="44.25" customHeight="1"/>
    <row r="111" ht="44.25" customHeight="1"/>
    <row r="112" ht="44.25" customHeight="1"/>
    <row r="113" ht="44.25" customHeight="1"/>
    <row r="114" ht="44.25" customHeight="1"/>
    <row r="115" ht="44.25" customHeight="1"/>
    <row r="116" ht="44.25" customHeight="1"/>
    <row r="117" ht="44.25" customHeight="1"/>
    <row r="118" ht="44.25" customHeight="1"/>
    <row r="119" ht="44.25" customHeight="1"/>
    <row r="120" ht="44.25" customHeight="1"/>
    <row r="121" ht="44.25" customHeight="1"/>
    <row r="122" ht="44.25" customHeight="1"/>
    <row r="123" ht="44.25" customHeight="1"/>
    <row r="124" ht="44.25" customHeight="1"/>
    <row r="125" ht="44.25" customHeight="1"/>
    <row r="126" ht="44.25" customHeight="1"/>
    <row r="127" ht="44.25" customHeight="1"/>
    <row r="128" ht="44.25" customHeight="1"/>
    <row r="129" ht="44.25" customHeight="1"/>
    <row r="132" ht="18.75" customHeight="1"/>
    <row r="133" ht="25.5" customHeight="1"/>
  </sheetData>
  <mergeCells count="21">
    <mergeCell ref="Q9:Q11"/>
    <mergeCell ref="E10:E11"/>
    <mergeCell ref="F10:G10"/>
    <mergeCell ref="H10:I10"/>
    <mergeCell ref="J10:J11"/>
    <mergeCell ref="M9:M11"/>
    <mergeCell ref="N9:N11"/>
    <mergeCell ref="B5:Q5"/>
    <mergeCell ref="B2:Q2"/>
    <mergeCell ref="B4:Q4"/>
    <mergeCell ref="B6:K6"/>
    <mergeCell ref="B7:K7"/>
    <mergeCell ref="B8:Q8"/>
    <mergeCell ref="B9:J9"/>
    <mergeCell ref="K9:K11"/>
    <mergeCell ref="L9:L11"/>
    <mergeCell ref="O9:O11"/>
    <mergeCell ref="P9:P11"/>
    <mergeCell ref="B10:B11"/>
    <mergeCell ref="C10:C11"/>
    <mergeCell ref="D10:D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1">
    <tabColor theme="7" tint="0.39997558519241921"/>
    <pageSetUpPr fitToPage="1"/>
  </sheetPr>
  <dimension ref="B1:N12"/>
  <sheetViews>
    <sheetView workbookViewId="0">
      <selection activeCell="G13" sqref="G13"/>
    </sheetView>
  </sheetViews>
  <sheetFormatPr defaultRowHeight="12.75"/>
  <cols>
    <col min="1" max="1" width="3.42578125" style="22" customWidth="1"/>
    <col min="2" max="5" width="13.5703125" style="22" customWidth="1"/>
    <col min="6" max="10" width="11" style="22" customWidth="1"/>
    <col min="11" max="13" width="13.5703125" style="22" customWidth="1"/>
    <col min="14" max="14" width="12.7109375" style="22" customWidth="1"/>
    <col min="15" max="16384" width="9.140625" style="22"/>
  </cols>
  <sheetData>
    <row r="1" spans="2:14">
      <c r="B1" s="39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32"/>
    </row>
    <row r="2" spans="2:14" ht="14.25">
      <c r="B2" s="375" t="s">
        <v>116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2"/>
    </row>
    <row r="3" spans="2:14" ht="4.5" customHeight="1">
      <c r="B3" s="26"/>
    </row>
    <row r="4" spans="2:14" ht="72" customHeight="1">
      <c r="B4" s="354" t="s">
        <v>232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6"/>
    </row>
    <row r="5" spans="2:14" ht="29.25" customHeight="1">
      <c r="B5" s="328" t="s">
        <v>231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30"/>
    </row>
    <row r="6" spans="2:14" ht="26.25" customHeight="1">
      <c r="B6" s="334" t="s">
        <v>117</v>
      </c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</row>
    <row r="7" spans="2:14" ht="26.25" customHeight="1">
      <c r="B7" s="334" t="s">
        <v>10</v>
      </c>
      <c r="C7" s="335"/>
      <c r="D7" s="335"/>
      <c r="E7" s="335"/>
      <c r="F7" s="335"/>
      <c r="G7" s="335"/>
      <c r="H7" s="335"/>
      <c r="I7" s="335"/>
      <c r="J7" s="336"/>
      <c r="K7" s="342" t="s">
        <v>105</v>
      </c>
      <c r="L7" s="342" t="s">
        <v>106</v>
      </c>
      <c r="M7" s="372" t="s">
        <v>107</v>
      </c>
      <c r="N7" s="347" t="s">
        <v>93</v>
      </c>
    </row>
    <row r="8" spans="2:14" ht="26.25" customHeight="1">
      <c r="B8" s="323" t="s">
        <v>9</v>
      </c>
      <c r="C8" s="323" t="s">
        <v>15</v>
      </c>
      <c r="D8" s="323" t="s">
        <v>17</v>
      </c>
      <c r="E8" s="323" t="s">
        <v>16</v>
      </c>
      <c r="F8" s="327" t="s">
        <v>11</v>
      </c>
      <c r="G8" s="327"/>
      <c r="H8" s="327" t="s">
        <v>12</v>
      </c>
      <c r="I8" s="327"/>
      <c r="J8" s="323" t="s">
        <v>111</v>
      </c>
      <c r="K8" s="343"/>
      <c r="L8" s="343"/>
      <c r="M8" s="373"/>
      <c r="N8" s="348"/>
    </row>
    <row r="9" spans="2:14" ht="26.25" customHeight="1">
      <c r="B9" s="324"/>
      <c r="C9" s="324"/>
      <c r="D9" s="324"/>
      <c r="E9" s="324"/>
      <c r="F9" s="33" t="s">
        <v>13</v>
      </c>
      <c r="G9" s="33" t="s">
        <v>14</v>
      </c>
      <c r="H9" s="33" t="s">
        <v>13</v>
      </c>
      <c r="I9" s="33" t="s">
        <v>14</v>
      </c>
      <c r="J9" s="324"/>
      <c r="K9" s="344"/>
      <c r="L9" s="344"/>
      <c r="M9" s="374"/>
      <c r="N9" s="349"/>
    </row>
    <row r="10" spans="2:14" ht="44.25" customHeight="1">
      <c r="B10" s="34"/>
      <c r="C10" s="35"/>
      <c r="D10" s="45"/>
      <c r="E10" s="45"/>
      <c r="F10" s="59"/>
      <c r="G10" s="59"/>
      <c r="H10" s="59"/>
      <c r="I10" s="59"/>
      <c r="J10" s="34"/>
      <c r="K10" s="35"/>
      <c r="L10" s="40"/>
      <c r="M10" s="45"/>
      <c r="N10" s="40"/>
    </row>
    <row r="11" spans="2:14" ht="44.25" customHeight="1">
      <c r="B11" s="34"/>
      <c r="C11" s="35"/>
      <c r="D11" s="45"/>
      <c r="E11" s="45"/>
      <c r="F11" s="59"/>
      <c r="G11" s="59"/>
      <c r="H11" s="59"/>
      <c r="I11" s="59"/>
      <c r="J11" s="34"/>
      <c r="K11" s="35"/>
      <c r="L11" s="40"/>
      <c r="M11" s="45"/>
      <c r="N11" s="40"/>
    </row>
    <row r="12" spans="2:14" ht="44.25" customHeight="1">
      <c r="B12" s="34"/>
      <c r="C12" s="35"/>
      <c r="D12" s="45"/>
      <c r="E12" s="45"/>
      <c r="F12" s="59"/>
      <c r="G12" s="59"/>
      <c r="H12" s="59"/>
      <c r="I12" s="59"/>
      <c r="J12" s="34"/>
      <c r="K12" s="35"/>
      <c r="L12" s="40"/>
      <c r="M12" s="45"/>
      <c r="N12" s="40"/>
    </row>
  </sheetData>
  <mergeCells count="16">
    <mergeCell ref="B5:N5"/>
    <mergeCell ref="B2:N2"/>
    <mergeCell ref="B4:N4"/>
    <mergeCell ref="F8:G8"/>
    <mergeCell ref="H8:I8"/>
    <mergeCell ref="J8:J9"/>
    <mergeCell ref="B6:N6"/>
    <mergeCell ref="B7:J7"/>
    <mergeCell ref="K7:K9"/>
    <mergeCell ref="L7:L9"/>
    <mergeCell ref="M7:M9"/>
    <mergeCell ref="N7:N9"/>
    <mergeCell ref="B8:B9"/>
    <mergeCell ref="C8:C9"/>
    <mergeCell ref="D8:D9"/>
    <mergeCell ref="E8:E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2">
    <tabColor theme="7" tint="0.39997558519241921"/>
    <pageSetUpPr fitToPage="1"/>
  </sheetPr>
  <dimension ref="B2:P15"/>
  <sheetViews>
    <sheetView workbookViewId="0">
      <selection activeCell="D9" sqref="D9:D10"/>
    </sheetView>
  </sheetViews>
  <sheetFormatPr defaultRowHeight="12.75"/>
  <cols>
    <col min="1" max="1" width="2.140625" style="22" customWidth="1"/>
    <col min="2" max="4" width="13.5703125" style="22" customWidth="1"/>
    <col min="5" max="7" width="11" style="22" customWidth="1"/>
    <col min="8" max="8" width="13.5703125" style="51" customWidth="1"/>
    <col min="9" max="10" width="13.5703125" style="22" customWidth="1"/>
    <col min="11" max="11" width="16.85546875" style="22" customWidth="1"/>
    <col min="12" max="12" width="9.140625" style="22"/>
    <col min="13" max="13" width="9.140625" style="62"/>
    <col min="14" max="15" width="9.140625" style="22"/>
    <col min="16" max="16" width="9.140625" style="62"/>
    <col min="17" max="16384" width="9.140625" style="22"/>
  </cols>
  <sheetData>
    <row r="2" spans="2:11">
      <c r="B2" s="219"/>
      <c r="C2" s="220"/>
      <c r="D2" s="220"/>
      <c r="E2" s="220"/>
      <c r="F2" s="220"/>
      <c r="G2" s="220"/>
      <c r="H2" s="221"/>
      <c r="I2" s="220"/>
      <c r="J2" s="220"/>
      <c r="K2" s="218"/>
    </row>
    <row r="3" spans="2:11" ht="14.25">
      <c r="B3" s="375" t="s">
        <v>118</v>
      </c>
      <c r="C3" s="321"/>
      <c r="D3" s="321"/>
      <c r="E3" s="321"/>
      <c r="F3" s="321"/>
      <c r="G3" s="321"/>
      <c r="H3" s="321"/>
      <c r="I3" s="321"/>
      <c r="J3" s="321"/>
      <c r="K3" s="322"/>
    </row>
    <row r="4" spans="2:11" ht="4.5" customHeight="1">
      <c r="B4" s="26"/>
      <c r="K4" s="218"/>
    </row>
    <row r="5" spans="2:11" ht="72" customHeight="1">
      <c r="B5" s="354" t="s">
        <v>220</v>
      </c>
      <c r="C5" s="359"/>
      <c r="D5" s="359"/>
      <c r="E5" s="359"/>
      <c r="F5" s="359"/>
      <c r="G5" s="359"/>
      <c r="H5" s="359"/>
      <c r="I5" s="359"/>
      <c r="J5" s="359"/>
      <c r="K5" s="356"/>
    </row>
    <row r="6" spans="2:11" ht="29.25" customHeight="1">
      <c r="B6" s="328" t="s">
        <v>233</v>
      </c>
      <c r="C6" s="329"/>
      <c r="D6" s="329"/>
      <c r="E6" s="329"/>
      <c r="F6" s="329"/>
      <c r="G6" s="329"/>
      <c r="H6" s="329"/>
      <c r="I6" s="329"/>
      <c r="J6" s="329"/>
      <c r="K6" s="330"/>
    </row>
    <row r="7" spans="2:11" ht="26.25" customHeight="1">
      <c r="B7" s="334" t="s">
        <v>119</v>
      </c>
      <c r="C7" s="335"/>
      <c r="D7" s="335"/>
      <c r="E7" s="335"/>
      <c r="F7" s="335"/>
      <c r="G7" s="335"/>
      <c r="H7" s="335"/>
      <c r="I7" s="335"/>
      <c r="J7" s="335"/>
      <c r="K7" s="336"/>
    </row>
    <row r="8" spans="2:11" ht="26.25" customHeight="1">
      <c r="B8" s="334" t="s">
        <v>10</v>
      </c>
      <c r="C8" s="335"/>
      <c r="D8" s="335"/>
      <c r="E8" s="335"/>
      <c r="F8" s="335"/>
      <c r="G8" s="336"/>
      <c r="H8" s="342" t="s">
        <v>105</v>
      </c>
      <c r="I8" s="342" t="s">
        <v>106</v>
      </c>
      <c r="J8" s="342" t="s">
        <v>107</v>
      </c>
      <c r="K8" s="342" t="s">
        <v>93</v>
      </c>
    </row>
    <row r="9" spans="2:11" ht="26.25" customHeight="1">
      <c r="B9" s="323" t="s">
        <v>9</v>
      </c>
      <c r="C9" s="323" t="s">
        <v>15</v>
      </c>
      <c r="D9" s="323" t="s">
        <v>5</v>
      </c>
      <c r="E9" s="327" t="s">
        <v>120</v>
      </c>
      <c r="F9" s="327"/>
      <c r="G9" s="323" t="s">
        <v>111</v>
      </c>
      <c r="H9" s="343"/>
      <c r="I9" s="343"/>
      <c r="J9" s="343"/>
      <c r="K9" s="343"/>
    </row>
    <row r="10" spans="2:11" ht="26.25" customHeight="1">
      <c r="B10" s="324"/>
      <c r="C10" s="324"/>
      <c r="D10" s="324"/>
      <c r="E10" s="33" t="s">
        <v>13</v>
      </c>
      <c r="F10" s="33" t="s">
        <v>14</v>
      </c>
      <c r="G10" s="324"/>
      <c r="H10" s="344"/>
      <c r="I10" s="344"/>
      <c r="J10" s="344"/>
      <c r="K10" s="344"/>
    </row>
    <row r="11" spans="2:11" ht="44.25" customHeight="1">
      <c r="B11" s="63"/>
      <c r="C11" s="35"/>
      <c r="D11" s="45"/>
      <c r="E11" s="59"/>
      <c r="F11" s="59"/>
      <c r="G11" s="40"/>
      <c r="H11" s="38"/>
      <c r="I11" s="40"/>
      <c r="J11" s="36"/>
      <c r="K11" s="38"/>
    </row>
    <row r="12" spans="2:11" ht="44.25" customHeight="1">
      <c r="B12" s="63"/>
      <c r="C12" s="40"/>
      <c r="D12" s="45"/>
      <c r="E12" s="59"/>
      <c r="F12" s="59"/>
      <c r="G12" s="40"/>
      <c r="H12" s="38"/>
      <c r="I12" s="40"/>
      <c r="J12" s="36"/>
      <c r="K12" s="38"/>
    </row>
    <row r="13" spans="2:11" ht="44.25" customHeight="1">
      <c r="B13" s="63"/>
      <c r="C13" s="35"/>
      <c r="D13" s="45"/>
      <c r="E13" s="59"/>
      <c r="F13" s="59"/>
      <c r="G13" s="40"/>
      <c r="H13" s="38"/>
      <c r="I13" s="40"/>
      <c r="J13" s="36"/>
      <c r="K13" s="38"/>
    </row>
    <row r="14" spans="2:11" ht="44.25" customHeight="1">
      <c r="B14" s="63"/>
      <c r="C14" s="40"/>
      <c r="D14" s="45"/>
      <c r="E14" s="59"/>
      <c r="F14" s="59"/>
      <c r="G14" s="40"/>
      <c r="H14" s="38"/>
      <c r="I14" s="40"/>
      <c r="J14" s="36"/>
      <c r="K14" s="38"/>
    </row>
    <row r="15" spans="2:11" ht="44.25" hidden="1" customHeight="1">
      <c r="B15" s="63"/>
      <c r="C15" s="40"/>
      <c r="D15" s="45"/>
      <c r="E15" s="40"/>
      <c r="F15" s="40"/>
      <c r="G15" s="40"/>
      <c r="H15" s="38"/>
      <c r="I15" s="38"/>
      <c r="J15" s="65"/>
      <c r="K15" s="38"/>
    </row>
  </sheetData>
  <mergeCells count="14">
    <mergeCell ref="B6:K6"/>
    <mergeCell ref="B3:K3"/>
    <mergeCell ref="B5:K5"/>
    <mergeCell ref="G9:G10"/>
    <mergeCell ref="B7:K7"/>
    <mergeCell ref="B8:G8"/>
    <mergeCell ref="H8:H10"/>
    <mergeCell ref="I8:I10"/>
    <mergeCell ref="J8:J10"/>
    <mergeCell ref="K8:K10"/>
    <mergeCell ref="B9:B10"/>
    <mergeCell ref="C9:C10"/>
    <mergeCell ref="D9:D10"/>
    <mergeCell ref="E9:F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4">
    <tabColor theme="7" tint="0.39997558519241921"/>
    <pageSetUpPr fitToPage="1"/>
  </sheetPr>
  <dimension ref="B1:Q51"/>
  <sheetViews>
    <sheetView workbookViewId="0">
      <selection activeCell="D12" sqref="D12"/>
    </sheetView>
  </sheetViews>
  <sheetFormatPr defaultColWidth="8" defaultRowHeight="12.75"/>
  <cols>
    <col min="1" max="1" width="3.28515625" style="21" customWidth="1"/>
    <col min="2" max="4" width="13.5703125" style="21" customWidth="1"/>
    <col min="5" max="7" width="11" style="21" customWidth="1"/>
    <col min="8" max="8" width="13.5703125" style="66" customWidth="1"/>
    <col min="9" max="10" width="13.5703125" style="21" customWidth="1"/>
    <col min="11" max="11" width="12.7109375" style="21" customWidth="1"/>
    <col min="12" max="12" width="8" style="21"/>
    <col min="13" max="13" width="8" style="82"/>
    <col min="14" max="16" width="8" style="21"/>
    <col min="17" max="17" width="12.42578125" style="21" bestFit="1" customWidth="1"/>
    <col min="18" max="16384" width="8" style="21"/>
  </cols>
  <sheetData>
    <row r="1" spans="2:17" s="22" customFormat="1">
      <c r="H1" s="51"/>
      <c r="M1" s="62"/>
      <c r="P1" s="62"/>
    </row>
    <row r="2" spans="2:17">
      <c r="B2" s="222"/>
      <c r="C2" s="223"/>
      <c r="D2" s="223"/>
      <c r="E2" s="223"/>
      <c r="F2" s="223"/>
      <c r="G2" s="223"/>
      <c r="H2" s="224"/>
      <c r="I2" s="223"/>
      <c r="J2" s="223"/>
      <c r="K2" s="225"/>
    </row>
    <row r="3" spans="2:17" ht="14.25">
      <c r="B3" s="391" t="s">
        <v>121</v>
      </c>
      <c r="C3" s="392"/>
      <c r="D3" s="392"/>
      <c r="E3" s="392"/>
      <c r="F3" s="392"/>
      <c r="G3" s="392"/>
      <c r="H3" s="392"/>
      <c r="I3" s="392"/>
      <c r="J3" s="392"/>
      <c r="K3" s="393"/>
    </row>
    <row r="4" spans="2:17" ht="4.5" customHeight="1">
      <c r="B4" s="25"/>
      <c r="K4" s="225"/>
    </row>
    <row r="5" spans="2:17" ht="72" customHeight="1">
      <c r="B5" s="394" t="s">
        <v>234</v>
      </c>
      <c r="C5" s="395"/>
      <c r="D5" s="395"/>
      <c r="E5" s="395"/>
      <c r="F5" s="395"/>
      <c r="G5" s="395"/>
      <c r="H5" s="395"/>
      <c r="I5" s="395"/>
      <c r="J5" s="395"/>
      <c r="K5" s="396"/>
    </row>
    <row r="6" spans="2:17" ht="29.25" customHeight="1">
      <c r="B6" s="388" t="s">
        <v>235</v>
      </c>
      <c r="C6" s="389"/>
      <c r="D6" s="389"/>
      <c r="E6" s="389"/>
      <c r="F6" s="389"/>
      <c r="G6" s="389"/>
      <c r="H6" s="389"/>
      <c r="I6" s="389"/>
      <c r="J6" s="389"/>
      <c r="K6" s="390"/>
    </row>
    <row r="7" spans="2:17" ht="26.25" customHeight="1">
      <c r="B7" s="378" t="s">
        <v>122</v>
      </c>
      <c r="C7" s="379"/>
      <c r="D7" s="379"/>
      <c r="E7" s="379"/>
      <c r="F7" s="379"/>
      <c r="G7" s="379"/>
      <c r="H7" s="379"/>
      <c r="I7" s="379"/>
      <c r="J7" s="379"/>
      <c r="K7" s="379"/>
    </row>
    <row r="8" spans="2:17" ht="26.25" customHeight="1">
      <c r="B8" s="378" t="s">
        <v>10</v>
      </c>
      <c r="C8" s="379"/>
      <c r="D8" s="379"/>
      <c r="E8" s="379"/>
      <c r="F8" s="379"/>
      <c r="G8" s="380"/>
      <c r="H8" s="381" t="s">
        <v>105</v>
      </c>
      <c r="I8" s="381" t="s">
        <v>106</v>
      </c>
      <c r="J8" s="381" t="s">
        <v>107</v>
      </c>
      <c r="K8" s="384" t="s">
        <v>93</v>
      </c>
    </row>
    <row r="9" spans="2:17" ht="26.25" customHeight="1">
      <c r="B9" s="376" t="s">
        <v>9</v>
      </c>
      <c r="C9" s="376" t="s">
        <v>15</v>
      </c>
      <c r="D9" s="376" t="s">
        <v>5</v>
      </c>
      <c r="E9" s="387" t="s">
        <v>120</v>
      </c>
      <c r="F9" s="387"/>
      <c r="G9" s="376" t="s">
        <v>111</v>
      </c>
      <c r="H9" s="382"/>
      <c r="I9" s="382"/>
      <c r="J9" s="382"/>
      <c r="K9" s="385"/>
    </row>
    <row r="10" spans="2:17" ht="26.25" customHeight="1">
      <c r="B10" s="377"/>
      <c r="C10" s="377"/>
      <c r="D10" s="377"/>
      <c r="E10" s="67" t="s">
        <v>13</v>
      </c>
      <c r="F10" s="67" t="s">
        <v>14</v>
      </c>
      <c r="G10" s="377"/>
      <c r="H10" s="383"/>
      <c r="I10" s="383"/>
      <c r="J10" s="383"/>
      <c r="K10" s="386"/>
    </row>
    <row r="11" spans="2:17" ht="44.25" customHeight="1">
      <c r="B11" s="63"/>
      <c r="C11" s="68"/>
      <c r="D11" s="45"/>
      <c r="E11" s="70"/>
      <c r="F11" s="70"/>
      <c r="G11" s="63"/>
      <c r="H11" s="63"/>
      <c r="I11" s="68"/>
      <c r="J11" s="69"/>
      <c r="K11" s="63"/>
      <c r="M11" s="49"/>
      <c r="Q11" s="22"/>
    </row>
    <row r="12" spans="2:17" ht="44.25" customHeight="1">
      <c r="B12" s="63"/>
      <c r="C12" s="68"/>
      <c r="D12" s="45"/>
      <c r="E12" s="70"/>
      <c r="F12" s="70"/>
      <c r="G12" s="63"/>
      <c r="H12" s="63"/>
      <c r="I12" s="68"/>
      <c r="J12" s="69"/>
      <c r="K12" s="63"/>
      <c r="M12" s="49"/>
      <c r="Q12" s="22"/>
    </row>
    <row r="13" spans="2:17" ht="44.25" customHeight="1">
      <c r="B13" s="63"/>
      <c r="C13" s="68"/>
      <c r="D13" s="45"/>
      <c r="E13" s="70"/>
      <c r="F13" s="70"/>
      <c r="G13" s="63"/>
      <c r="H13" s="63"/>
      <c r="I13" s="68"/>
      <c r="J13" s="69"/>
      <c r="K13" s="63"/>
      <c r="M13" s="49"/>
      <c r="Q13" s="22"/>
    </row>
    <row r="14" spans="2:17" ht="44.25" customHeight="1">
      <c r="B14" s="63"/>
      <c r="C14" s="68"/>
      <c r="D14" s="45"/>
      <c r="E14" s="70"/>
      <c r="F14" s="70"/>
      <c r="G14" s="63"/>
      <c r="H14" s="63"/>
      <c r="I14" s="68"/>
      <c r="J14" s="69"/>
      <c r="K14" s="63"/>
      <c r="M14" s="49"/>
      <c r="Q14" s="22"/>
    </row>
    <row r="15" spans="2:17">
      <c r="H15" s="21"/>
    </row>
    <row r="16" spans="2:17">
      <c r="H16" s="21"/>
    </row>
    <row r="17" spans="8:8">
      <c r="H17" s="21"/>
    </row>
    <row r="18" spans="8:8">
      <c r="H18" s="21"/>
    </row>
    <row r="19" spans="8:8">
      <c r="H19" s="21"/>
    </row>
    <row r="20" spans="8:8">
      <c r="H20" s="21"/>
    </row>
    <row r="21" spans="8:8">
      <c r="H21" s="21"/>
    </row>
    <row r="22" spans="8:8">
      <c r="H22" s="21"/>
    </row>
    <row r="23" spans="8:8">
      <c r="H23" s="21"/>
    </row>
    <row r="24" spans="8:8">
      <c r="H24" s="21"/>
    </row>
    <row r="25" spans="8:8">
      <c r="H25" s="21"/>
    </row>
    <row r="26" spans="8:8">
      <c r="H26" s="21"/>
    </row>
    <row r="27" spans="8:8">
      <c r="H27" s="21"/>
    </row>
    <row r="28" spans="8:8">
      <c r="H28" s="21"/>
    </row>
    <row r="29" spans="8:8">
      <c r="H29" s="21"/>
    </row>
    <row r="30" spans="8:8">
      <c r="H30" s="21"/>
    </row>
    <row r="31" spans="8:8">
      <c r="H31" s="21"/>
    </row>
    <row r="32" spans="8:8">
      <c r="H32" s="21"/>
    </row>
    <row r="33" spans="8:8">
      <c r="H33" s="21"/>
    </row>
    <row r="34" spans="8:8">
      <c r="H34" s="21"/>
    </row>
    <row r="35" spans="8:8">
      <c r="H35" s="21"/>
    </row>
    <row r="36" spans="8:8">
      <c r="H36" s="21"/>
    </row>
    <row r="37" spans="8:8">
      <c r="H37" s="21"/>
    </row>
    <row r="38" spans="8:8">
      <c r="H38" s="21"/>
    </row>
    <row r="39" spans="8:8">
      <c r="H39" s="21"/>
    </row>
    <row r="40" spans="8:8">
      <c r="H40" s="21"/>
    </row>
    <row r="41" spans="8:8">
      <c r="H41" s="21"/>
    </row>
    <row r="42" spans="8:8">
      <c r="H42" s="21"/>
    </row>
    <row r="43" spans="8:8">
      <c r="H43" s="21"/>
    </row>
    <row r="44" spans="8:8">
      <c r="H44" s="21"/>
    </row>
    <row r="45" spans="8:8">
      <c r="H45" s="21"/>
    </row>
    <row r="46" spans="8:8">
      <c r="H46" s="21"/>
    </row>
    <row r="47" spans="8:8">
      <c r="H47" s="21"/>
    </row>
    <row r="48" spans="8:8">
      <c r="H48" s="21"/>
    </row>
    <row r="49" spans="8:8">
      <c r="H49" s="21"/>
    </row>
    <row r="50" spans="8:8">
      <c r="H50" s="21"/>
    </row>
    <row r="51" spans="8:8">
      <c r="H51" s="21"/>
    </row>
  </sheetData>
  <mergeCells count="14">
    <mergeCell ref="B6:K6"/>
    <mergeCell ref="B3:K3"/>
    <mergeCell ref="B5:K5"/>
    <mergeCell ref="G9:G10"/>
    <mergeCell ref="B7:K7"/>
    <mergeCell ref="B8:G8"/>
    <mergeCell ref="H8:H10"/>
    <mergeCell ref="I8:I10"/>
    <mergeCell ref="J8:J10"/>
    <mergeCell ref="K8:K10"/>
    <mergeCell ref="B9:B10"/>
    <mergeCell ref="C9:C10"/>
    <mergeCell ref="D9:D10"/>
    <mergeCell ref="E9:F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5">
    <tabColor theme="7" tint="0.39997558519241921"/>
    <pageSetUpPr fitToPage="1"/>
  </sheetPr>
  <dimension ref="B1:P19"/>
  <sheetViews>
    <sheetView workbookViewId="0">
      <selection activeCell="H33" sqref="H33"/>
    </sheetView>
  </sheetViews>
  <sheetFormatPr defaultRowHeight="12.75"/>
  <cols>
    <col min="1" max="1" width="2.5703125" style="22" customWidth="1"/>
    <col min="2" max="4" width="13.5703125" style="22" customWidth="1"/>
    <col min="5" max="6" width="11" style="22" customWidth="1"/>
    <col min="7" max="7" width="16.140625" style="22" customWidth="1"/>
    <col min="8" max="8" width="15.7109375" style="22" customWidth="1"/>
    <col min="9" max="9" width="13.5703125" style="22" customWidth="1"/>
    <col min="10" max="10" width="16.85546875" style="22" customWidth="1"/>
    <col min="11" max="14" width="12.7109375" style="22" customWidth="1"/>
    <col min="15" max="15" width="12.5703125" style="22" customWidth="1"/>
    <col min="16" max="16" width="20.7109375" style="22" customWidth="1"/>
    <col min="17" max="18" width="9.140625" style="22"/>
    <col min="19" max="19" width="17.42578125" style="22" bestFit="1" customWidth="1"/>
    <col min="20" max="20" width="9.5703125" style="22" customWidth="1"/>
    <col min="21" max="16384" width="9.140625" style="22"/>
  </cols>
  <sheetData>
    <row r="1" spans="2:16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18"/>
    </row>
    <row r="2" spans="2:16" ht="14.25">
      <c r="B2" s="375" t="s">
        <v>123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8"/>
    </row>
    <row r="3" spans="2:16" ht="4.5" customHeight="1">
      <c r="B3" s="39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32"/>
    </row>
    <row r="4" spans="2:16" ht="72" customHeight="1">
      <c r="B4" s="354" t="s">
        <v>236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6"/>
    </row>
    <row r="5" spans="2:16" ht="18" customHeight="1">
      <c r="B5" s="328" t="s">
        <v>237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30"/>
    </row>
    <row r="6" spans="2:16" ht="21.75" customHeight="1">
      <c r="B6" s="328" t="s">
        <v>238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30"/>
    </row>
    <row r="7" spans="2:16" ht="57.75" customHeight="1">
      <c r="B7" s="328" t="s">
        <v>239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30"/>
    </row>
    <row r="8" spans="2:16" ht="32.25" customHeight="1">
      <c r="B8" s="328" t="s">
        <v>240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30"/>
    </row>
    <row r="9" spans="2:16" ht="16.5" customHeight="1">
      <c r="B9" s="328" t="s">
        <v>241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30"/>
    </row>
    <row r="10" spans="2:16" ht="16.5" customHeight="1">
      <c r="B10" s="351" t="s">
        <v>242</v>
      </c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3"/>
    </row>
    <row r="11" spans="2:16" ht="9" customHeight="1">
      <c r="B11" s="328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</row>
    <row r="12" spans="2:16" ht="26.25" customHeight="1">
      <c r="B12" s="334" t="s">
        <v>124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6"/>
    </row>
    <row r="13" spans="2:16" ht="26.25" customHeight="1">
      <c r="B13" s="334" t="s">
        <v>10</v>
      </c>
      <c r="C13" s="335"/>
      <c r="D13" s="335"/>
      <c r="E13" s="335"/>
      <c r="F13" s="335"/>
      <c r="G13" s="342" t="s">
        <v>105</v>
      </c>
      <c r="H13" s="342" t="s">
        <v>125</v>
      </c>
      <c r="I13" s="342" t="s">
        <v>126</v>
      </c>
      <c r="J13" s="342" t="s">
        <v>127</v>
      </c>
      <c r="K13" s="342" t="s">
        <v>128</v>
      </c>
      <c r="L13" s="342" t="s">
        <v>129</v>
      </c>
      <c r="M13" s="342" t="s">
        <v>130</v>
      </c>
      <c r="N13" s="342" t="s">
        <v>131</v>
      </c>
      <c r="O13" s="342" t="s">
        <v>132</v>
      </c>
      <c r="P13" s="342" t="s">
        <v>133</v>
      </c>
    </row>
    <row r="14" spans="2:16" ht="26.25" customHeight="1">
      <c r="B14" s="323" t="s">
        <v>9</v>
      </c>
      <c r="C14" s="323" t="s">
        <v>15</v>
      </c>
      <c r="D14" s="323" t="s">
        <v>5</v>
      </c>
      <c r="E14" s="327" t="s">
        <v>120</v>
      </c>
      <c r="F14" s="327"/>
      <c r="G14" s="343"/>
      <c r="H14" s="343"/>
      <c r="I14" s="343"/>
      <c r="J14" s="343"/>
      <c r="K14" s="343"/>
      <c r="L14" s="343"/>
      <c r="M14" s="343"/>
      <c r="N14" s="343"/>
      <c r="O14" s="343"/>
      <c r="P14" s="343"/>
    </row>
    <row r="15" spans="2:16" ht="26.25" customHeight="1">
      <c r="B15" s="324"/>
      <c r="C15" s="324"/>
      <c r="D15" s="324"/>
      <c r="E15" s="33" t="s">
        <v>13</v>
      </c>
      <c r="F15" s="33" t="s">
        <v>14</v>
      </c>
      <c r="G15" s="344"/>
      <c r="H15" s="344"/>
      <c r="I15" s="344"/>
      <c r="J15" s="344"/>
      <c r="K15" s="344"/>
      <c r="L15" s="344"/>
      <c r="M15" s="344"/>
      <c r="N15" s="344"/>
      <c r="O15" s="344"/>
      <c r="P15" s="344"/>
    </row>
    <row r="16" spans="2:16" ht="44.25" customHeight="1">
      <c r="B16" s="63"/>
      <c r="C16" s="34"/>
      <c r="D16" s="45"/>
      <c r="E16" s="59"/>
      <c r="F16" s="59"/>
      <c r="G16" s="38"/>
      <c r="H16" s="35"/>
      <c r="I16" s="40"/>
      <c r="J16" s="45"/>
      <c r="K16" s="45"/>
      <c r="L16" s="40"/>
      <c r="M16" s="40"/>
      <c r="N16" s="45"/>
      <c r="O16" s="45">
        <f t="shared" ref="O16" si="0">(PI()*((J16/2)^2))*N16*K16</f>
        <v>0</v>
      </c>
      <c r="P16" s="36"/>
    </row>
    <row r="17" spans="2:16" ht="44.25" customHeight="1">
      <c r="B17" s="63"/>
      <c r="C17" s="34"/>
      <c r="D17" s="45"/>
      <c r="E17" s="59"/>
      <c r="F17" s="59"/>
      <c r="G17" s="38"/>
      <c r="H17" s="35"/>
      <c r="I17" s="40"/>
      <c r="J17" s="45"/>
      <c r="K17" s="45"/>
      <c r="L17" s="40"/>
      <c r="M17" s="40"/>
      <c r="N17" s="45"/>
      <c r="O17" s="45">
        <f>(K17*PI()*((J17/2)^2))*N17</f>
        <v>0</v>
      </c>
      <c r="P17" s="36"/>
    </row>
    <row r="18" spans="2:16" ht="44.25" customHeight="1">
      <c r="B18" s="63"/>
      <c r="C18" s="34"/>
      <c r="D18" s="45"/>
      <c r="E18" s="59"/>
      <c r="F18" s="59"/>
      <c r="G18" s="38"/>
      <c r="H18" s="35"/>
      <c r="I18" s="40"/>
      <c r="J18" s="71"/>
      <c r="K18" s="45"/>
      <c r="L18" s="40"/>
      <c r="M18" s="40"/>
      <c r="N18" s="45"/>
      <c r="O18" s="45">
        <f t="shared" ref="O18:O19" si="1">((2*2)*N18)*K18</f>
        <v>0</v>
      </c>
      <c r="P18" s="36"/>
    </row>
    <row r="19" spans="2:16" ht="44.25" customHeight="1">
      <c r="B19" s="63"/>
      <c r="C19" s="34"/>
      <c r="D19" s="45"/>
      <c r="E19" s="59"/>
      <c r="F19" s="59"/>
      <c r="G19" s="38"/>
      <c r="H19" s="35"/>
      <c r="I19" s="40"/>
      <c r="J19" s="45"/>
      <c r="K19" s="45"/>
      <c r="L19" s="40"/>
      <c r="M19" s="40"/>
      <c r="N19" s="45"/>
      <c r="O19" s="45">
        <f t="shared" si="1"/>
        <v>0</v>
      </c>
      <c r="P19" s="36"/>
    </row>
  </sheetData>
  <mergeCells count="25">
    <mergeCell ref="B11:P11"/>
    <mergeCell ref="B2:P2"/>
    <mergeCell ref="B4:P4"/>
    <mergeCell ref="B5:P5"/>
    <mergeCell ref="B6:P6"/>
    <mergeCell ref="B7:P7"/>
    <mergeCell ref="B8:P8"/>
    <mergeCell ref="B9:P9"/>
    <mergeCell ref="B10:P10"/>
    <mergeCell ref="B12:P12"/>
    <mergeCell ref="B13:F13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B14:B15"/>
    <mergeCell ref="C14:C15"/>
    <mergeCell ref="D14:D15"/>
    <mergeCell ref="E14:F1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6">
    <tabColor theme="7" tint="0.39997558519241921"/>
    <pageSetUpPr fitToPage="1"/>
  </sheetPr>
  <dimension ref="B1:Q17"/>
  <sheetViews>
    <sheetView workbookViewId="0">
      <selection activeCell="G17" sqref="G17"/>
    </sheetView>
  </sheetViews>
  <sheetFormatPr defaultRowHeight="12.75"/>
  <cols>
    <col min="1" max="1" width="2.42578125" style="22" customWidth="1"/>
    <col min="2" max="6" width="13.5703125" style="22" customWidth="1"/>
    <col min="7" max="8" width="11" style="22" customWidth="1"/>
    <col min="9" max="11" width="13.5703125" style="22" customWidth="1"/>
    <col min="12" max="12" width="16.85546875" style="22" customWidth="1"/>
    <col min="13" max="15" width="12.7109375" style="22" customWidth="1"/>
    <col min="16" max="16" width="32.7109375" style="22" customWidth="1"/>
    <col min="17" max="17" width="14.7109375" style="22" customWidth="1"/>
    <col min="18" max="16384" width="9.140625" style="22"/>
  </cols>
  <sheetData>
    <row r="1" spans="2:17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18"/>
    </row>
    <row r="2" spans="2:17" ht="14.25">
      <c r="B2" s="375" t="s">
        <v>134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8"/>
    </row>
    <row r="3" spans="2:17" ht="4.5" customHeight="1">
      <c r="B3" s="39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32"/>
    </row>
    <row r="4" spans="2:17" ht="24.75" customHeight="1">
      <c r="B4" s="354" t="s">
        <v>243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6"/>
    </row>
    <row r="5" spans="2:17" ht="62.25" customHeight="1">
      <c r="B5" s="328" t="s">
        <v>244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30"/>
    </row>
    <row r="6" spans="2:17" ht="73.5" customHeight="1">
      <c r="B6" s="328" t="s">
        <v>245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30"/>
    </row>
    <row r="7" spans="2:17" ht="20.25" customHeight="1">
      <c r="B7" s="328" t="s">
        <v>246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30"/>
    </row>
    <row r="8" spans="2:17" ht="17.25" customHeight="1">
      <c r="B8" s="328" t="s">
        <v>247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30"/>
    </row>
    <row r="9" spans="2:17" ht="16.5" customHeight="1">
      <c r="B9" s="328" t="s">
        <v>248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30"/>
    </row>
    <row r="10" spans="2:17" ht="16.5" customHeight="1">
      <c r="B10" s="351" t="s">
        <v>249</v>
      </c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3"/>
    </row>
    <row r="11" spans="2:17" ht="4.5" customHeight="1">
      <c r="B11" s="328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</row>
    <row r="12" spans="2:17" ht="26.25" customHeight="1">
      <c r="B12" s="334" t="s">
        <v>135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6"/>
    </row>
    <row r="13" spans="2:17" ht="26.25" customHeight="1">
      <c r="B13" s="334" t="s">
        <v>10</v>
      </c>
      <c r="C13" s="335"/>
      <c r="D13" s="335"/>
      <c r="E13" s="335"/>
      <c r="F13" s="335"/>
      <c r="G13" s="335"/>
      <c r="H13" s="335"/>
      <c r="I13" s="342" t="s">
        <v>136</v>
      </c>
      <c r="J13" s="399" t="s">
        <v>137</v>
      </c>
      <c r="K13" s="400"/>
      <c r="L13" s="400"/>
      <c r="M13" s="400"/>
      <c r="N13" s="401"/>
      <c r="O13" s="347" t="s">
        <v>138</v>
      </c>
      <c r="P13" s="326" t="s">
        <v>139</v>
      </c>
      <c r="Q13" s="326" t="s">
        <v>133</v>
      </c>
    </row>
    <row r="14" spans="2:17" ht="26.25" customHeight="1">
      <c r="B14" s="323" t="s">
        <v>140</v>
      </c>
      <c r="C14" s="323" t="s">
        <v>141</v>
      </c>
      <c r="D14" s="323" t="s">
        <v>9</v>
      </c>
      <c r="E14" s="347" t="s">
        <v>15</v>
      </c>
      <c r="F14" s="323" t="s">
        <v>5</v>
      </c>
      <c r="G14" s="327" t="s">
        <v>120</v>
      </c>
      <c r="H14" s="327"/>
      <c r="I14" s="343"/>
      <c r="J14" s="72" t="s">
        <v>142</v>
      </c>
      <c r="K14" s="73" t="s">
        <v>126</v>
      </c>
      <c r="L14" s="74" t="s">
        <v>143</v>
      </c>
      <c r="M14" s="74" t="s">
        <v>144</v>
      </c>
      <c r="N14" s="74" t="s">
        <v>145</v>
      </c>
      <c r="O14" s="348"/>
      <c r="P14" s="326"/>
      <c r="Q14" s="326"/>
    </row>
    <row r="15" spans="2:17" ht="26.25" customHeight="1">
      <c r="B15" s="324"/>
      <c r="C15" s="324"/>
      <c r="D15" s="324"/>
      <c r="E15" s="349"/>
      <c r="F15" s="324"/>
      <c r="G15" s="33" t="s">
        <v>13</v>
      </c>
      <c r="H15" s="33" t="s">
        <v>14</v>
      </c>
      <c r="I15" s="344"/>
      <c r="J15" s="75"/>
      <c r="K15" s="76"/>
      <c r="L15" s="77"/>
      <c r="M15" s="77"/>
      <c r="N15" s="77"/>
      <c r="O15" s="349"/>
      <c r="P15" s="326"/>
      <c r="Q15" s="326"/>
    </row>
    <row r="16" spans="2:17" ht="160.5" customHeight="1">
      <c r="B16" s="40"/>
      <c r="C16" s="34"/>
      <c r="D16" s="34"/>
      <c r="E16" s="34"/>
      <c r="F16" s="45"/>
      <c r="G16" s="78"/>
      <c r="H16" s="78"/>
      <c r="I16" s="45"/>
      <c r="J16" s="40"/>
      <c r="K16" s="38"/>
      <c r="L16" s="40"/>
      <c r="M16" s="35"/>
      <c r="N16" s="45">
        <f>I16*2</f>
        <v>0</v>
      </c>
      <c r="O16" s="45">
        <f>N16*1.8</f>
        <v>0</v>
      </c>
      <c r="P16" s="43"/>
      <c r="Q16" s="43"/>
    </row>
    <row r="17" spans="2:17" ht="172.5" customHeight="1">
      <c r="B17" s="40"/>
      <c r="C17" s="34"/>
      <c r="D17" s="34"/>
      <c r="E17" s="34"/>
      <c r="F17" s="45"/>
      <c r="G17" s="78"/>
      <c r="H17" s="78"/>
      <c r="I17" s="45"/>
      <c r="J17" s="40"/>
      <c r="K17" s="38"/>
      <c r="L17" s="40"/>
      <c r="M17" s="35"/>
      <c r="N17" s="45">
        <f>I17*2</f>
        <v>0</v>
      </c>
      <c r="O17" s="45">
        <f>N17*1.35</f>
        <v>0</v>
      </c>
      <c r="P17" s="43"/>
      <c r="Q17" s="43"/>
    </row>
  </sheetData>
  <mergeCells count="22">
    <mergeCell ref="B11:Q11"/>
    <mergeCell ref="B2:Q2"/>
    <mergeCell ref="B4:Q4"/>
    <mergeCell ref="B5:Q5"/>
    <mergeCell ref="B6:Q6"/>
    <mergeCell ref="B7:Q7"/>
    <mergeCell ref="B8:Q8"/>
    <mergeCell ref="B9:Q9"/>
    <mergeCell ref="B10:Q10"/>
    <mergeCell ref="E14:E15"/>
    <mergeCell ref="F14:F15"/>
    <mergeCell ref="G14:H14"/>
    <mergeCell ref="B12:Q12"/>
    <mergeCell ref="B13:H13"/>
    <mergeCell ref="I13:I15"/>
    <mergeCell ref="J13:N13"/>
    <mergeCell ref="O13:O15"/>
    <mergeCell ref="P13:P15"/>
    <mergeCell ref="Q13:Q15"/>
    <mergeCell ref="B14:B15"/>
    <mergeCell ref="C14:C15"/>
    <mergeCell ref="D14:D1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7">
    <tabColor theme="7" tint="0.39997558519241921"/>
    <pageSetUpPr fitToPage="1"/>
  </sheetPr>
  <dimension ref="B1:N14"/>
  <sheetViews>
    <sheetView workbookViewId="0">
      <selection activeCell="B5" sqref="B5:N5"/>
    </sheetView>
  </sheetViews>
  <sheetFormatPr defaultRowHeight="12.75"/>
  <cols>
    <col min="1" max="1" width="4.140625" style="22" customWidth="1"/>
    <col min="2" max="2" width="15.85546875" style="22" customWidth="1"/>
    <col min="3" max="5" width="13.5703125" style="22" customWidth="1"/>
    <col min="6" max="9" width="11" style="22" customWidth="1"/>
    <col min="10" max="12" width="13.5703125" style="22" customWidth="1"/>
    <col min="13" max="13" width="16.85546875" style="22" customWidth="1"/>
    <col min="14" max="14" width="12.7109375" style="22" customWidth="1"/>
    <col min="15" max="16384" width="9.140625" style="22"/>
  </cols>
  <sheetData>
    <row r="1" spans="2:14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18"/>
    </row>
    <row r="2" spans="2:14" ht="14.25">
      <c r="B2" s="375" t="s">
        <v>146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8"/>
    </row>
    <row r="3" spans="2:14" ht="4.5" customHeight="1">
      <c r="B3" s="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7"/>
    </row>
    <row r="4" spans="2:14" ht="45.75" customHeight="1">
      <c r="B4" s="354" t="s">
        <v>147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6"/>
    </row>
    <row r="5" spans="2:14" ht="66.75" customHeight="1">
      <c r="B5" s="351" t="s">
        <v>148</v>
      </c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3"/>
    </row>
    <row r="6" spans="2:14" ht="16.5" customHeight="1">
      <c r="B6" s="32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30"/>
    </row>
    <row r="7" spans="2:14" ht="26.25" customHeight="1">
      <c r="B7" s="334" t="s">
        <v>149</v>
      </c>
      <c r="C7" s="335"/>
      <c r="D7" s="335"/>
      <c r="E7" s="335"/>
      <c r="F7" s="335"/>
      <c r="G7" s="335"/>
      <c r="H7" s="335"/>
      <c r="I7" s="335"/>
      <c r="J7" s="335"/>
      <c r="K7" s="335"/>
      <c r="L7" s="335"/>
      <c r="M7" s="335"/>
      <c r="N7" s="336"/>
    </row>
    <row r="8" spans="2:14" ht="26.25" customHeight="1">
      <c r="B8" s="334" t="s">
        <v>10</v>
      </c>
      <c r="C8" s="335"/>
      <c r="D8" s="335"/>
      <c r="E8" s="335"/>
      <c r="F8" s="335"/>
      <c r="G8" s="335"/>
      <c r="H8" s="335"/>
      <c r="I8" s="335"/>
      <c r="J8" s="336"/>
      <c r="K8" s="342" t="s">
        <v>105</v>
      </c>
      <c r="L8" s="342" t="s">
        <v>106</v>
      </c>
      <c r="M8" s="342" t="s">
        <v>150</v>
      </c>
      <c r="N8" s="342" t="s">
        <v>93</v>
      </c>
    </row>
    <row r="9" spans="2:14" ht="26.25" customHeight="1">
      <c r="B9" s="323" t="s">
        <v>9</v>
      </c>
      <c r="C9" s="323" t="s">
        <v>15</v>
      </c>
      <c r="D9" s="323" t="s">
        <v>17</v>
      </c>
      <c r="E9" s="323" t="s">
        <v>16</v>
      </c>
      <c r="F9" s="319" t="s">
        <v>11</v>
      </c>
      <c r="G9" s="319"/>
      <c r="H9" s="319" t="s">
        <v>12</v>
      </c>
      <c r="I9" s="319"/>
      <c r="J9" s="342" t="s">
        <v>111</v>
      </c>
      <c r="K9" s="343"/>
      <c r="L9" s="343"/>
      <c r="M9" s="343"/>
      <c r="N9" s="343"/>
    </row>
    <row r="10" spans="2:14" ht="26.25" customHeight="1">
      <c r="B10" s="324"/>
      <c r="C10" s="324"/>
      <c r="D10" s="324"/>
      <c r="E10" s="324"/>
      <c r="F10" s="227" t="s">
        <v>13</v>
      </c>
      <c r="G10" s="227" t="s">
        <v>14</v>
      </c>
      <c r="H10" s="227" t="s">
        <v>13</v>
      </c>
      <c r="I10" s="227" t="s">
        <v>14</v>
      </c>
      <c r="J10" s="344"/>
      <c r="K10" s="344"/>
      <c r="L10" s="344"/>
      <c r="M10" s="344"/>
      <c r="N10" s="344"/>
    </row>
    <row r="11" spans="2:14" ht="44.25" customHeight="1">
      <c r="B11" s="34"/>
      <c r="C11" s="34"/>
      <c r="D11" s="36"/>
      <c r="E11" s="36"/>
      <c r="F11" s="37"/>
      <c r="G11" s="37"/>
      <c r="H11" s="37"/>
      <c r="I11" s="37"/>
      <c r="J11" s="34"/>
      <c r="K11" s="34"/>
      <c r="L11" s="38"/>
      <c r="M11" s="36">
        <f t="shared" ref="M11:M14" si="0">(E11-D11)*1000</f>
        <v>0</v>
      </c>
      <c r="N11" s="43"/>
    </row>
    <row r="12" spans="2:14" ht="44.25" customHeight="1">
      <c r="B12" s="34"/>
      <c r="C12" s="34"/>
      <c r="D12" s="36"/>
      <c r="E12" s="36"/>
      <c r="F12" s="37"/>
      <c r="G12" s="37"/>
      <c r="H12" s="37"/>
      <c r="I12" s="37"/>
      <c r="J12" s="34"/>
      <c r="K12" s="34"/>
      <c r="L12" s="38"/>
      <c r="M12" s="36">
        <f t="shared" si="0"/>
        <v>0</v>
      </c>
      <c r="N12" s="43"/>
    </row>
    <row r="13" spans="2:14" ht="44.25" customHeight="1">
      <c r="B13" s="34"/>
      <c r="C13" s="34"/>
      <c r="D13" s="36"/>
      <c r="E13" s="36"/>
      <c r="F13" s="37"/>
      <c r="G13" s="37"/>
      <c r="H13" s="37"/>
      <c r="I13" s="37"/>
      <c r="J13" s="38"/>
      <c r="K13" s="34"/>
      <c r="L13" s="38"/>
      <c r="M13" s="36">
        <f t="shared" si="0"/>
        <v>0</v>
      </c>
      <c r="N13" s="43"/>
    </row>
    <row r="14" spans="2:14" ht="44.25" customHeight="1">
      <c r="B14" s="34"/>
      <c r="C14" s="34"/>
      <c r="D14" s="36"/>
      <c r="E14" s="36"/>
      <c r="F14" s="37"/>
      <c r="G14" s="37"/>
      <c r="H14" s="37"/>
      <c r="I14" s="37"/>
      <c r="J14" s="34"/>
      <c r="K14" s="34"/>
      <c r="L14" s="38"/>
      <c r="M14" s="36">
        <f t="shared" si="0"/>
        <v>0</v>
      </c>
      <c r="N14" s="43"/>
    </row>
  </sheetData>
  <mergeCells count="17">
    <mergeCell ref="B5:N5"/>
    <mergeCell ref="B2:N2"/>
    <mergeCell ref="B4:N4"/>
    <mergeCell ref="E9:E10"/>
    <mergeCell ref="F9:G9"/>
    <mergeCell ref="H9:I9"/>
    <mergeCell ref="J9:J10"/>
    <mergeCell ref="B6:N6"/>
    <mergeCell ref="B7:N7"/>
    <mergeCell ref="B8:J8"/>
    <mergeCell ref="K8:K10"/>
    <mergeCell ref="L8:L10"/>
    <mergeCell ref="M8:M10"/>
    <mergeCell ref="N8:N10"/>
    <mergeCell ref="B9:B10"/>
    <mergeCell ref="C9:C10"/>
    <mergeCell ref="D9:D10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8">
    <tabColor theme="7" tint="0.39997558519241921"/>
    <pageSetUpPr fitToPage="1"/>
  </sheetPr>
  <dimension ref="B1:R39"/>
  <sheetViews>
    <sheetView workbookViewId="0">
      <selection activeCell="J15" sqref="J15"/>
    </sheetView>
  </sheetViews>
  <sheetFormatPr defaultRowHeight="12.75"/>
  <cols>
    <col min="1" max="1" width="3.7109375" style="22" customWidth="1"/>
    <col min="2" max="2" width="19.85546875" style="22" customWidth="1"/>
    <col min="3" max="5" width="13.5703125" style="22" customWidth="1"/>
    <col min="6" max="9" width="11" style="22" customWidth="1"/>
    <col min="10" max="12" width="13.5703125" style="22" customWidth="1"/>
    <col min="13" max="15" width="16.85546875" style="22" customWidth="1"/>
    <col min="16" max="16" width="20.7109375" style="51" customWidth="1"/>
    <col min="17" max="16384" width="9.140625" style="22"/>
  </cols>
  <sheetData>
    <row r="1" spans="2:18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36"/>
    </row>
    <row r="2" spans="2:18" ht="14.25">
      <c r="B2" s="375" t="s">
        <v>151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8"/>
    </row>
    <row r="3" spans="2:18" ht="4.5" customHeight="1">
      <c r="B3" s="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80"/>
    </row>
    <row r="4" spans="2:18" ht="45.75" customHeight="1">
      <c r="B4" s="408" t="s">
        <v>250</v>
      </c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10"/>
    </row>
    <row r="5" spans="2:18" ht="4.5" customHeight="1">
      <c r="B5" s="328"/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30"/>
    </row>
    <row r="6" spans="2:18" ht="26.25" customHeight="1">
      <c r="B6" s="334" t="s">
        <v>152</v>
      </c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6"/>
    </row>
    <row r="7" spans="2:18" ht="26.25" customHeight="1">
      <c r="B7" s="334" t="s">
        <v>10</v>
      </c>
      <c r="C7" s="335"/>
      <c r="D7" s="335"/>
      <c r="E7" s="335"/>
      <c r="F7" s="335"/>
      <c r="G7" s="335"/>
      <c r="H7" s="335"/>
      <c r="I7" s="335"/>
      <c r="J7" s="336"/>
      <c r="K7" s="342" t="s">
        <v>153</v>
      </c>
      <c r="L7" s="372" t="s">
        <v>154</v>
      </c>
      <c r="M7" s="347" t="s">
        <v>150</v>
      </c>
      <c r="N7" s="347" t="s">
        <v>155</v>
      </c>
      <c r="O7" s="402" t="s">
        <v>93</v>
      </c>
      <c r="P7" s="403"/>
    </row>
    <row r="8" spans="2:18" ht="26.25" customHeight="1">
      <c r="B8" s="323" t="s">
        <v>9</v>
      </c>
      <c r="C8" s="323" t="s">
        <v>15</v>
      </c>
      <c r="D8" s="323" t="s">
        <v>17</v>
      </c>
      <c r="E8" s="323" t="s">
        <v>16</v>
      </c>
      <c r="F8" s="319" t="s">
        <v>11</v>
      </c>
      <c r="G8" s="319"/>
      <c r="H8" s="319" t="s">
        <v>12</v>
      </c>
      <c r="I8" s="319"/>
      <c r="J8" s="342" t="s">
        <v>111</v>
      </c>
      <c r="K8" s="343"/>
      <c r="L8" s="373"/>
      <c r="M8" s="348"/>
      <c r="N8" s="348"/>
      <c r="O8" s="404"/>
      <c r="P8" s="405"/>
    </row>
    <row r="9" spans="2:18" ht="26.25" customHeight="1">
      <c r="B9" s="324"/>
      <c r="C9" s="324"/>
      <c r="D9" s="324"/>
      <c r="E9" s="324"/>
      <c r="F9" s="227" t="s">
        <v>13</v>
      </c>
      <c r="G9" s="227" t="s">
        <v>14</v>
      </c>
      <c r="H9" s="227" t="s">
        <v>13</v>
      </c>
      <c r="I9" s="227" t="s">
        <v>14</v>
      </c>
      <c r="J9" s="344"/>
      <c r="K9" s="344"/>
      <c r="L9" s="374"/>
      <c r="M9" s="349"/>
      <c r="N9" s="349"/>
      <c r="O9" s="406"/>
      <c r="P9" s="407"/>
    </row>
    <row r="10" spans="2:18" ht="44.25" customHeight="1">
      <c r="B10" s="63"/>
      <c r="C10" s="35"/>
      <c r="D10" s="45"/>
      <c r="E10" s="45"/>
      <c r="F10" s="59"/>
      <c r="G10" s="59"/>
      <c r="H10" s="59"/>
      <c r="I10" s="59"/>
      <c r="J10" s="40"/>
      <c r="K10" s="34"/>
      <c r="L10" s="45"/>
      <c r="M10" s="45"/>
      <c r="N10" s="45"/>
      <c r="O10" s="150"/>
      <c r="P10" s="81"/>
      <c r="R10" s="64"/>
    </row>
    <row r="11" spans="2:18" ht="44.25" customHeight="1">
      <c r="B11" s="63"/>
      <c r="C11" s="35"/>
      <c r="D11" s="45"/>
      <c r="E11" s="45"/>
      <c r="F11" s="59"/>
      <c r="G11" s="59"/>
      <c r="H11" s="59"/>
      <c r="I11" s="59"/>
      <c r="J11" s="35"/>
      <c r="K11" s="38"/>
      <c r="L11" s="45"/>
      <c r="M11" s="45"/>
      <c r="N11" s="45"/>
      <c r="O11" s="150"/>
      <c r="P11" s="81"/>
      <c r="R11" s="64"/>
    </row>
    <row r="12" spans="2:18" ht="44.25" customHeight="1">
      <c r="B12" s="63"/>
      <c r="C12" s="35"/>
      <c r="D12" s="45"/>
      <c r="E12" s="45"/>
      <c r="F12" s="59"/>
      <c r="G12" s="59"/>
      <c r="H12" s="59"/>
      <c r="I12" s="59"/>
      <c r="J12" s="40"/>
      <c r="K12" s="38"/>
      <c r="L12" s="45"/>
      <c r="M12" s="45"/>
      <c r="N12" s="45"/>
      <c r="O12" s="150"/>
      <c r="P12" s="41"/>
      <c r="R12" s="64"/>
    </row>
    <row r="13" spans="2:18" ht="44.25" customHeight="1">
      <c r="B13" s="63"/>
      <c r="C13" s="35"/>
      <c r="D13" s="45"/>
      <c r="E13" s="45"/>
      <c r="F13" s="59"/>
      <c r="G13" s="59"/>
      <c r="H13" s="59"/>
      <c r="I13" s="59"/>
      <c r="J13" s="40"/>
      <c r="K13" s="38"/>
      <c r="L13" s="45"/>
      <c r="M13" s="45"/>
      <c r="N13" s="45"/>
      <c r="O13" s="150"/>
      <c r="P13" s="41"/>
      <c r="R13" s="64"/>
    </row>
    <row r="14" spans="2:18" ht="44.25" customHeight="1">
      <c r="B14" s="63"/>
      <c r="C14" s="35"/>
      <c r="D14" s="45"/>
      <c r="E14" s="45"/>
      <c r="F14" s="59"/>
      <c r="G14" s="59"/>
      <c r="H14" s="59"/>
      <c r="I14" s="59"/>
      <c r="J14" s="40"/>
      <c r="K14" s="38"/>
      <c r="L14" s="45"/>
      <c r="M14" s="45"/>
      <c r="N14" s="45"/>
      <c r="O14" s="150"/>
      <c r="P14" s="41"/>
      <c r="R14" s="64"/>
    </row>
    <row r="15" spans="2:18" ht="39" customHeight="1">
      <c r="B15" s="63"/>
      <c r="C15" s="35"/>
      <c r="D15" s="45"/>
      <c r="E15" s="45"/>
      <c r="F15" s="37"/>
      <c r="G15" s="37"/>
      <c r="H15" s="59"/>
      <c r="I15" s="59"/>
      <c r="J15" s="40"/>
      <c r="K15" s="34"/>
      <c r="L15" s="45"/>
      <c r="M15" s="45"/>
      <c r="N15" s="45"/>
      <c r="O15" s="150"/>
      <c r="P15" s="41"/>
      <c r="R15" s="64"/>
    </row>
    <row r="16" spans="2:18" ht="44.25" customHeight="1">
      <c r="R16" s="64"/>
    </row>
    <row r="17" spans="18:18" ht="44.25" customHeight="1">
      <c r="R17" s="64"/>
    </row>
    <row r="18" spans="18:18" ht="44.25" customHeight="1"/>
    <row r="19" spans="18:18" ht="44.25" customHeight="1"/>
    <row r="20" spans="18:18" ht="44.25" customHeight="1"/>
    <row r="21" spans="18:18" ht="44.25" customHeight="1"/>
    <row r="22" spans="18:18" ht="44.25" customHeight="1"/>
    <row r="23" spans="18:18" ht="44.25" customHeight="1"/>
    <row r="24" spans="18:18" ht="44.25" customHeight="1"/>
    <row r="25" spans="18:18" ht="44.25" customHeight="1"/>
    <row r="26" spans="18:18" ht="44.25" customHeight="1"/>
    <row r="27" spans="18:18" ht="44.25" customHeight="1"/>
    <row r="28" spans="18:18" ht="44.25" customHeight="1"/>
    <row r="29" spans="18:18" ht="44.25" customHeight="1"/>
    <row r="30" spans="18:18" ht="44.25" customHeight="1"/>
    <row r="31" spans="18:18" ht="44.25" customHeight="1"/>
    <row r="32" spans="18:18" ht="44.25" customHeight="1"/>
    <row r="33" ht="44.25" customHeight="1"/>
    <row r="38" ht="27" customHeight="1"/>
    <row r="39" ht="27" customHeight="1"/>
  </sheetData>
  <mergeCells count="17">
    <mergeCell ref="B5:P5"/>
    <mergeCell ref="B2:P2"/>
    <mergeCell ref="B4:P4"/>
    <mergeCell ref="E8:E9"/>
    <mergeCell ref="F8:G8"/>
    <mergeCell ref="H8:I8"/>
    <mergeCell ref="J8:J9"/>
    <mergeCell ref="B6:P6"/>
    <mergeCell ref="B7:J7"/>
    <mergeCell ref="K7:K9"/>
    <mergeCell ref="L7:L9"/>
    <mergeCell ref="M7:M9"/>
    <mergeCell ref="N7:N9"/>
    <mergeCell ref="B8:B9"/>
    <mergeCell ref="C8:C9"/>
    <mergeCell ref="D8:D9"/>
    <mergeCell ref="O7:P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4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9">
    <tabColor theme="7" tint="0.39997558519241921"/>
    <pageSetUpPr fitToPage="1"/>
  </sheetPr>
  <dimension ref="B1:R36"/>
  <sheetViews>
    <sheetView workbookViewId="0">
      <selection activeCell="F10" sqref="F10"/>
    </sheetView>
  </sheetViews>
  <sheetFormatPr defaultColWidth="8" defaultRowHeight="12.75"/>
  <cols>
    <col min="1" max="1" width="3" style="21" customWidth="1"/>
    <col min="2" max="2" width="19.140625" style="21" customWidth="1"/>
    <col min="3" max="5" width="13.5703125" style="21" customWidth="1"/>
    <col min="6" max="9" width="11" style="21" customWidth="1"/>
    <col min="10" max="10" width="15.42578125" style="21" customWidth="1"/>
    <col min="11" max="11" width="13.5703125" style="21" customWidth="1"/>
    <col min="12" max="13" width="16.85546875" style="21" customWidth="1"/>
    <col min="14" max="14" width="19.28515625" style="21" customWidth="1"/>
    <col min="15" max="16" width="8" style="21"/>
    <col min="17" max="17" width="17.28515625" style="82" customWidth="1"/>
    <col min="18" max="18" width="9.7109375" style="82" bestFit="1" customWidth="1"/>
    <col min="19" max="16384" width="8" style="21"/>
  </cols>
  <sheetData>
    <row r="1" spans="2:18">
      <c r="B1" s="222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5"/>
    </row>
    <row r="2" spans="2:18">
      <c r="B2" s="378" t="s">
        <v>156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80"/>
    </row>
    <row r="3" spans="2:18" ht="26.25" customHeight="1">
      <c r="B3" s="378" t="s">
        <v>10</v>
      </c>
      <c r="C3" s="379"/>
      <c r="D3" s="379"/>
      <c r="E3" s="379"/>
      <c r="F3" s="379"/>
      <c r="G3" s="379"/>
      <c r="H3" s="379"/>
      <c r="I3" s="379"/>
      <c r="J3" s="380"/>
      <c r="K3" s="384" t="s">
        <v>157</v>
      </c>
      <c r="L3" s="384" t="s">
        <v>150</v>
      </c>
      <c r="M3" s="384" t="s">
        <v>158</v>
      </c>
      <c r="N3" s="384" t="s">
        <v>93</v>
      </c>
    </row>
    <row r="4" spans="2:18" ht="26.25" customHeight="1">
      <c r="B4" s="376" t="s">
        <v>9</v>
      </c>
      <c r="C4" s="376" t="s">
        <v>15</v>
      </c>
      <c r="D4" s="376" t="s">
        <v>17</v>
      </c>
      <c r="E4" s="376" t="s">
        <v>16</v>
      </c>
      <c r="F4" s="411" t="s">
        <v>11</v>
      </c>
      <c r="G4" s="411"/>
      <c r="H4" s="411" t="s">
        <v>12</v>
      </c>
      <c r="I4" s="411"/>
      <c r="J4" s="381" t="s">
        <v>111</v>
      </c>
      <c r="K4" s="385"/>
      <c r="L4" s="385"/>
      <c r="M4" s="385"/>
      <c r="N4" s="385"/>
    </row>
    <row r="5" spans="2:18" ht="26.25" customHeight="1">
      <c r="B5" s="377"/>
      <c r="C5" s="377"/>
      <c r="D5" s="377"/>
      <c r="E5" s="377"/>
      <c r="F5" s="237" t="s">
        <v>13</v>
      </c>
      <c r="G5" s="237" t="s">
        <v>14</v>
      </c>
      <c r="H5" s="237" t="s">
        <v>13</v>
      </c>
      <c r="I5" s="237" t="s">
        <v>14</v>
      </c>
      <c r="J5" s="383"/>
      <c r="K5" s="386"/>
      <c r="L5" s="386"/>
      <c r="M5" s="386"/>
      <c r="N5" s="386"/>
    </row>
    <row r="6" spans="2:18" ht="26.25" customHeight="1">
      <c r="B6" s="163"/>
      <c r="C6" s="163"/>
      <c r="D6" s="163"/>
      <c r="E6" s="163"/>
      <c r="F6" s="237"/>
      <c r="G6" s="237"/>
      <c r="H6" s="237"/>
      <c r="I6" s="237"/>
      <c r="J6" s="164"/>
      <c r="K6" s="165"/>
      <c r="L6" s="165"/>
      <c r="M6" s="165"/>
      <c r="N6" s="165"/>
    </row>
    <row r="7" spans="2:18" ht="44.25" customHeight="1">
      <c r="B7" s="151"/>
      <c r="C7" s="230"/>
      <c r="D7" s="150"/>
      <c r="E7" s="150"/>
      <c r="F7" s="238"/>
      <c r="G7" s="238"/>
      <c r="H7" s="238"/>
      <c r="I7" s="238"/>
      <c r="J7" s="151"/>
      <c r="K7" s="239"/>
      <c r="L7" s="150"/>
      <c r="M7" s="239"/>
      <c r="N7" s="151"/>
      <c r="Q7" s="83"/>
      <c r="R7" s="83"/>
    </row>
    <row r="8" spans="2:18" ht="44.25" customHeight="1">
      <c r="B8" s="151"/>
      <c r="C8" s="230"/>
      <c r="D8" s="150"/>
      <c r="E8" s="150"/>
      <c r="F8" s="238"/>
      <c r="G8" s="238"/>
      <c r="H8" s="238"/>
      <c r="I8" s="238"/>
      <c r="J8" s="151"/>
      <c r="K8" s="239"/>
      <c r="L8" s="150"/>
      <c r="M8" s="239"/>
      <c r="N8" s="151"/>
      <c r="Q8" s="83"/>
      <c r="R8" s="83"/>
    </row>
    <row r="9" spans="2:18" ht="44.25" customHeight="1">
      <c r="B9" s="151"/>
      <c r="C9" s="230"/>
      <c r="D9" s="150"/>
      <c r="E9" s="150"/>
      <c r="F9" s="238"/>
      <c r="G9" s="238"/>
      <c r="H9" s="238"/>
      <c r="I9" s="238"/>
      <c r="J9" s="151"/>
      <c r="K9" s="239"/>
      <c r="L9" s="150"/>
      <c r="M9" s="239"/>
      <c r="N9" s="151"/>
      <c r="Q9" s="83"/>
      <c r="R9" s="83"/>
    </row>
    <row r="10" spans="2:18" ht="44.25" customHeight="1">
      <c r="B10" s="151"/>
      <c r="C10" s="230"/>
      <c r="D10" s="150"/>
      <c r="E10" s="150"/>
      <c r="F10" s="238"/>
      <c r="G10" s="238"/>
      <c r="H10" s="238"/>
      <c r="I10" s="238"/>
      <c r="J10" s="151"/>
      <c r="K10" s="239"/>
      <c r="L10" s="150"/>
      <c r="M10" s="239"/>
      <c r="N10" s="151"/>
      <c r="Q10" s="83"/>
      <c r="R10" s="83"/>
    </row>
    <row r="11" spans="2:18" ht="44.25" customHeight="1">
      <c r="B11" s="151"/>
      <c r="C11" s="230"/>
      <c r="D11" s="150"/>
      <c r="E11" s="150"/>
      <c r="F11" s="238"/>
      <c r="G11" s="238"/>
      <c r="H11" s="238"/>
      <c r="I11" s="238"/>
      <c r="J11" s="151"/>
      <c r="K11" s="239"/>
      <c r="L11" s="150"/>
      <c r="M11" s="239"/>
      <c r="N11" s="151"/>
      <c r="Q11" s="83"/>
      <c r="R11" s="83"/>
    </row>
    <row r="12" spans="2:18" ht="44.25" customHeight="1">
      <c r="B12" s="151"/>
      <c r="C12" s="230"/>
      <c r="D12" s="150"/>
      <c r="E12" s="150"/>
      <c r="F12" s="238"/>
      <c r="G12" s="238"/>
      <c r="H12" s="238"/>
      <c r="I12" s="238"/>
      <c r="J12" s="151"/>
      <c r="K12" s="239"/>
      <c r="L12" s="150"/>
      <c r="M12" s="239"/>
      <c r="N12" s="151"/>
      <c r="Q12" s="83"/>
      <c r="R12" s="83"/>
    </row>
    <row r="13" spans="2:18" ht="44.25" customHeight="1">
      <c r="B13" s="84"/>
      <c r="C13" s="79"/>
      <c r="D13" s="85"/>
      <c r="E13" s="85"/>
      <c r="F13" s="49"/>
      <c r="G13" s="49"/>
      <c r="H13" s="49"/>
      <c r="I13" s="49"/>
      <c r="J13" s="84"/>
      <c r="K13" s="86"/>
      <c r="L13" s="84"/>
      <c r="M13" s="84"/>
      <c r="N13" s="84"/>
    </row>
    <row r="14" spans="2:18" ht="44.25" customHeight="1"/>
    <row r="15" spans="2:18" ht="44.25" customHeight="1"/>
    <row r="16" spans="2:18" ht="44.25" customHeight="1"/>
    <row r="17" ht="44.25" customHeight="1"/>
    <row r="18" ht="44.25" customHeight="1"/>
    <row r="19" ht="44.25" customHeight="1"/>
    <row r="20" ht="44.25" customHeight="1"/>
    <row r="21" ht="44.25" customHeight="1"/>
    <row r="22" ht="44.25" customHeight="1"/>
    <row r="23" ht="44.25" customHeight="1"/>
    <row r="24" ht="44.25" customHeight="1"/>
    <row r="25" ht="44.25" customHeight="1"/>
    <row r="26" ht="44.25" customHeight="1"/>
    <row r="27" ht="44.25" customHeight="1"/>
    <row r="28" ht="44.25" customHeight="1"/>
    <row r="29" ht="44.25" customHeight="1"/>
    <row r="30" ht="44.25" customHeight="1"/>
    <row r="31" ht="44.25" customHeight="1"/>
    <row r="32" ht="44.25" customHeight="1"/>
    <row r="33" ht="44.25" customHeight="1"/>
    <row r="34" ht="44.25" customHeight="1"/>
    <row r="35" ht="44.25" customHeight="1"/>
    <row r="36" ht="26.25" customHeight="1"/>
  </sheetData>
  <autoFilter ref="B6:N12"/>
  <mergeCells count="13">
    <mergeCell ref="J4:J5"/>
    <mergeCell ref="B2:N2"/>
    <mergeCell ref="B3:J3"/>
    <mergeCell ref="K3:K5"/>
    <mergeCell ref="L3:L5"/>
    <mergeCell ref="M3:M5"/>
    <mergeCell ref="N3:N5"/>
    <mergeCell ref="B4:B5"/>
    <mergeCell ref="C4:C5"/>
    <mergeCell ref="D4:D5"/>
    <mergeCell ref="E4:E5"/>
    <mergeCell ref="F4:G4"/>
    <mergeCell ref="H4:I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0">
    <tabColor theme="7" tint="0.39997558519241921"/>
    <pageSetUpPr fitToPage="1"/>
  </sheetPr>
  <dimension ref="B1:P33"/>
  <sheetViews>
    <sheetView workbookViewId="0">
      <selection activeCell="H12" sqref="H12"/>
    </sheetView>
  </sheetViews>
  <sheetFormatPr defaultRowHeight="12.75"/>
  <cols>
    <col min="1" max="1" width="3.42578125" style="22" customWidth="1"/>
    <col min="2" max="5" width="13.5703125" style="22" customWidth="1"/>
    <col min="6" max="9" width="11" style="22" customWidth="1"/>
    <col min="10" max="10" width="13.5703125" style="22" customWidth="1"/>
    <col min="11" max="11" width="14.5703125" style="22" customWidth="1"/>
    <col min="12" max="12" width="13.5703125" style="22" customWidth="1"/>
    <col min="13" max="13" width="15.5703125" style="22" customWidth="1"/>
    <col min="14" max="14" width="16.85546875" style="22" customWidth="1"/>
    <col min="15" max="15" width="17.140625" style="22" customWidth="1"/>
    <col min="16" max="16384" width="9.140625" style="22"/>
  </cols>
  <sheetData>
    <row r="1" spans="2:16">
      <c r="B1" s="219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18"/>
    </row>
    <row r="2" spans="2:16" ht="14.25">
      <c r="B2" s="375" t="s">
        <v>159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8"/>
    </row>
    <row r="3" spans="2:16" ht="4.5" customHeight="1">
      <c r="B3" s="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7"/>
    </row>
    <row r="4" spans="2:16" ht="84.75" customHeight="1">
      <c r="B4" s="354" t="s">
        <v>251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6"/>
    </row>
    <row r="5" spans="2:16" ht="15" customHeight="1">
      <c r="B5" s="328" t="s">
        <v>252</v>
      </c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30"/>
    </row>
    <row r="6" spans="2:16" ht="66.75" customHeight="1">
      <c r="B6" s="351" t="s">
        <v>253</v>
      </c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3"/>
    </row>
    <row r="7" spans="2:16" ht="16.5" customHeight="1">
      <c r="B7" s="32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30"/>
    </row>
    <row r="8" spans="2:16" ht="26.25" customHeight="1">
      <c r="B8" s="334" t="s">
        <v>160</v>
      </c>
      <c r="C8" s="335"/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6"/>
    </row>
    <row r="9" spans="2:16" ht="26.25" customHeight="1">
      <c r="B9" s="334" t="s">
        <v>10</v>
      </c>
      <c r="C9" s="335"/>
      <c r="D9" s="335"/>
      <c r="E9" s="335"/>
      <c r="F9" s="335"/>
      <c r="G9" s="335"/>
      <c r="H9" s="335"/>
      <c r="I9" s="335"/>
      <c r="J9" s="336"/>
      <c r="K9" s="342" t="s">
        <v>105</v>
      </c>
      <c r="L9" s="372" t="s">
        <v>161</v>
      </c>
      <c r="M9" s="342" t="s">
        <v>126</v>
      </c>
      <c r="N9" s="347" t="s">
        <v>150</v>
      </c>
      <c r="O9" s="347" t="s">
        <v>93</v>
      </c>
    </row>
    <row r="10" spans="2:16" ht="26.25" customHeight="1">
      <c r="B10" s="323" t="s">
        <v>9</v>
      </c>
      <c r="C10" s="323" t="s">
        <v>15</v>
      </c>
      <c r="D10" s="323" t="s">
        <v>17</v>
      </c>
      <c r="E10" s="323" t="s">
        <v>16</v>
      </c>
      <c r="F10" s="319" t="s">
        <v>11</v>
      </c>
      <c r="G10" s="319"/>
      <c r="H10" s="319" t="s">
        <v>12</v>
      </c>
      <c r="I10" s="319"/>
      <c r="J10" s="342" t="s">
        <v>111</v>
      </c>
      <c r="K10" s="343"/>
      <c r="L10" s="373"/>
      <c r="M10" s="343"/>
      <c r="N10" s="348"/>
      <c r="O10" s="348"/>
    </row>
    <row r="11" spans="2:16" ht="26.25" customHeight="1">
      <c r="B11" s="324"/>
      <c r="C11" s="324"/>
      <c r="D11" s="324"/>
      <c r="E11" s="324"/>
      <c r="F11" s="227" t="s">
        <v>13</v>
      </c>
      <c r="G11" s="227" t="s">
        <v>14</v>
      </c>
      <c r="H11" s="227" t="s">
        <v>13</v>
      </c>
      <c r="I11" s="227" t="s">
        <v>14</v>
      </c>
      <c r="J11" s="344"/>
      <c r="K11" s="344"/>
      <c r="L11" s="374"/>
      <c r="M11" s="344"/>
      <c r="N11" s="349"/>
      <c r="O11" s="349"/>
    </row>
    <row r="12" spans="2:16" ht="44.25" customHeight="1">
      <c r="B12" s="38"/>
      <c r="C12" s="38"/>
      <c r="D12" s="36"/>
      <c r="E12" s="36"/>
      <c r="F12" s="37"/>
      <c r="G12" s="37"/>
      <c r="H12" s="37"/>
      <c r="I12" s="37"/>
      <c r="J12" s="38"/>
      <c r="K12" s="38"/>
      <c r="L12" s="38"/>
      <c r="M12" s="38"/>
      <c r="N12" s="36"/>
      <c r="O12" s="38"/>
      <c r="P12" s="87"/>
    </row>
    <row r="13" spans="2:16" ht="44.25" customHeight="1">
      <c r="B13" s="38"/>
      <c r="C13" s="38"/>
      <c r="D13" s="36"/>
      <c r="E13" s="36"/>
      <c r="F13" s="37"/>
      <c r="G13" s="37"/>
      <c r="H13" s="37"/>
      <c r="I13" s="37"/>
      <c r="J13" s="38"/>
      <c r="K13" s="38"/>
      <c r="L13" s="38"/>
      <c r="M13" s="38"/>
      <c r="N13" s="36"/>
      <c r="O13" s="38"/>
      <c r="P13" s="87"/>
    </row>
    <row r="14" spans="2:16" ht="44.25" customHeight="1">
      <c r="B14" s="38"/>
      <c r="C14" s="38"/>
      <c r="D14" s="36"/>
      <c r="E14" s="36"/>
      <c r="F14" s="37"/>
      <c r="G14" s="37"/>
      <c r="H14" s="37"/>
      <c r="I14" s="37"/>
      <c r="J14" s="38"/>
      <c r="K14" s="38"/>
      <c r="L14" s="38"/>
      <c r="M14" s="38"/>
      <c r="N14" s="36"/>
      <c r="O14" s="38"/>
      <c r="P14" s="87"/>
    </row>
    <row r="15" spans="2:16" ht="44.25" customHeight="1">
      <c r="B15" s="38"/>
      <c r="C15" s="38"/>
      <c r="D15" s="36"/>
      <c r="E15" s="36"/>
      <c r="F15" s="37"/>
      <c r="G15" s="37"/>
      <c r="H15" s="37"/>
      <c r="I15" s="37"/>
      <c r="J15" s="38"/>
      <c r="K15" s="38"/>
      <c r="L15" s="38"/>
      <c r="M15" s="38"/>
      <c r="N15" s="36"/>
      <c r="O15" s="38"/>
      <c r="P15" s="87"/>
    </row>
    <row r="16" spans="2:16" ht="44.25" customHeight="1"/>
    <row r="17" ht="44.25" customHeight="1"/>
    <row r="18" ht="44.25" customHeight="1"/>
    <row r="19" ht="44.25" customHeight="1"/>
    <row r="20" ht="44.25" customHeight="1"/>
    <row r="21" ht="44.25" customHeight="1"/>
    <row r="22" ht="44.25" customHeight="1"/>
    <row r="23" ht="44.25" customHeight="1"/>
    <row r="24" ht="44.25" customHeight="1"/>
    <row r="25" ht="44.25" customHeight="1"/>
    <row r="26" ht="44.25" customHeight="1"/>
    <row r="27" ht="44.25" customHeight="1"/>
    <row r="28" ht="44.25" customHeight="1"/>
    <row r="29" ht="44.25" customHeight="1"/>
    <row r="30" ht="44.25" customHeight="1"/>
    <row r="31" ht="44.25" customHeight="1"/>
    <row r="32" ht="44.25" customHeight="1"/>
    <row r="33" ht="44.25" customHeight="1"/>
  </sheetData>
  <mergeCells count="19">
    <mergeCell ref="B5:O5"/>
    <mergeCell ref="B2:O2"/>
    <mergeCell ref="B4:O4"/>
    <mergeCell ref="J10:J11"/>
    <mergeCell ref="B6:O6"/>
    <mergeCell ref="B7:O7"/>
    <mergeCell ref="B8:O8"/>
    <mergeCell ref="B9:J9"/>
    <mergeCell ref="K9:K11"/>
    <mergeCell ref="L9:L11"/>
    <mergeCell ref="M9:M11"/>
    <mergeCell ref="N9:N11"/>
    <mergeCell ref="O9:O11"/>
    <mergeCell ref="B10:B11"/>
    <mergeCell ref="C10:C11"/>
    <mergeCell ref="D10:D11"/>
    <mergeCell ref="E10:E11"/>
    <mergeCell ref="F10:G10"/>
    <mergeCell ref="H10:I10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1">
    <tabColor theme="7" tint="0.39997558519241921"/>
    <pageSetUpPr fitToPage="1"/>
  </sheetPr>
  <dimension ref="B1:S18"/>
  <sheetViews>
    <sheetView workbookViewId="0">
      <selection activeCell="B5" sqref="B5:Q5"/>
    </sheetView>
  </sheetViews>
  <sheetFormatPr defaultRowHeight="12.75"/>
  <cols>
    <col min="1" max="1" width="2" style="89" customWidth="1"/>
    <col min="2" max="4" width="13.5703125" style="89" customWidth="1"/>
    <col min="5" max="7" width="11" style="89" customWidth="1"/>
    <col min="8" max="8" width="19.85546875" style="89" customWidth="1"/>
    <col min="9" max="10" width="13.5703125" style="89" customWidth="1"/>
    <col min="11" max="11" width="13.5703125" style="91" customWidth="1"/>
    <col min="12" max="12" width="13.5703125" style="92" customWidth="1"/>
    <col min="13" max="14" width="13.5703125" style="89" customWidth="1"/>
    <col min="15" max="16" width="16.85546875" style="89" customWidth="1"/>
    <col min="17" max="17" width="12.7109375" style="89" customWidth="1"/>
    <col min="18" max="16384" width="9.140625" style="89"/>
  </cols>
  <sheetData>
    <row r="1" spans="2:19">
      <c r="B1" s="247"/>
      <c r="C1" s="243"/>
      <c r="D1" s="243"/>
      <c r="E1" s="243"/>
      <c r="F1" s="243"/>
      <c r="G1" s="243"/>
      <c r="H1" s="243"/>
      <c r="I1" s="243"/>
      <c r="J1" s="243"/>
      <c r="K1" s="244"/>
      <c r="L1" s="245"/>
      <c r="M1" s="243"/>
      <c r="N1" s="243"/>
      <c r="O1" s="243"/>
      <c r="P1" s="243"/>
      <c r="Q1" s="246"/>
    </row>
    <row r="2" spans="2:19" ht="14.25" customHeight="1">
      <c r="B2" s="423" t="s">
        <v>162</v>
      </c>
      <c r="C2" s="424"/>
      <c r="D2" s="424"/>
      <c r="E2" s="424"/>
      <c r="F2" s="424"/>
      <c r="G2" s="424"/>
      <c r="H2" s="424"/>
      <c r="I2" s="424"/>
      <c r="J2" s="424"/>
      <c r="K2" s="425"/>
      <c r="L2" s="426"/>
      <c r="M2" s="424"/>
      <c r="N2" s="424"/>
      <c r="O2" s="424"/>
      <c r="P2" s="424"/>
      <c r="Q2" s="427"/>
    </row>
    <row r="3" spans="2:19" ht="4.5" customHeight="1">
      <c r="B3" s="88"/>
      <c r="C3" s="240"/>
      <c r="D3" s="240"/>
      <c r="E3" s="240"/>
      <c r="F3" s="240"/>
      <c r="G3" s="240"/>
      <c r="H3" s="240"/>
      <c r="I3" s="240"/>
      <c r="J3" s="240"/>
      <c r="K3" s="241"/>
      <c r="L3" s="242"/>
      <c r="M3" s="240"/>
      <c r="N3" s="240"/>
      <c r="O3" s="240"/>
      <c r="P3" s="240"/>
      <c r="Q3" s="90"/>
    </row>
    <row r="4" spans="2:19" ht="85.5" customHeight="1">
      <c r="B4" s="428" t="s">
        <v>255</v>
      </c>
      <c r="C4" s="429"/>
      <c r="D4" s="429"/>
      <c r="E4" s="429"/>
      <c r="F4" s="429"/>
      <c r="G4" s="429"/>
      <c r="H4" s="429"/>
      <c r="I4" s="429"/>
      <c r="J4" s="429"/>
      <c r="K4" s="430"/>
      <c r="L4" s="431"/>
      <c r="M4" s="429"/>
      <c r="N4" s="429"/>
      <c r="O4" s="429"/>
      <c r="P4" s="429"/>
      <c r="Q4" s="432"/>
    </row>
    <row r="5" spans="2:19" ht="68.25" customHeight="1">
      <c r="B5" s="416" t="s">
        <v>254</v>
      </c>
      <c r="C5" s="417"/>
      <c r="D5" s="417"/>
      <c r="E5" s="417"/>
      <c r="F5" s="417"/>
      <c r="G5" s="417"/>
      <c r="H5" s="417"/>
      <c r="I5" s="417"/>
      <c r="J5" s="417"/>
      <c r="K5" s="418"/>
      <c r="L5" s="419"/>
      <c r="M5" s="417"/>
      <c r="N5" s="417"/>
      <c r="O5" s="417"/>
      <c r="P5" s="417"/>
      <c r="Q5" s="420"/>
    </row>
    <row r="6" spans="2:19" ht="24" customHeight="1">
      <c r="B6" s="416" t="s">
        <v>256</v>
      </c>
      <c r="C6" s="417"/>
      <c r="D6" s="417"/>
      <c r="E6" s="417"/>
      <c r="F6" s="417"/>
      <c r="G6" s="417"/>
      <c r="H6" s="417"/>
      <c r="I6" s="417"/>
      <c r="J6" s="417"/>
      <c r="K6" s="418"/>
      <c r="L6" s="419"/>
      <c r="M6" s="417"/>
      <c r="N6" s="417"/>
      <c r="O6" s="417"/>
      <c r="P6" s="417"/>
      <c r="Q6" s="420"/>
    </row>
    <row r="7" spans="2:19" ht="69" customHeight="1">
      <c r="B7" s="416" t="s">
        <v>257</v>
      </c>
      <c r="C7" s="417"/>
      <c r="D7" s="417"/>
      <c r="E7" s="417"/>
      <c r="F7" s="417"/>
      <c r="G7" s="417"/>
      <c r="H7" s="417"/>
      <c r="I7" s="417"/>
      <c r="J7" s="417"/>
      <c r="K7" s="418"/>
      <c r="L7" s="419"/>
      <c r="M7" s="417"/>
      <c r="N7" s="417"/>
      <c r="O7" s="417"/>
      <c r="P7" s="417"/>
      <c r="Q7" s="420"/>
    </row>
    <row r="8" spans="2:19" ht="24" customHeight="1">
      <c r="B8" s="416" t="s">
        <v>258</v>
      </c>
      <c r="C8" s="417"/>
      <c r="D8" s="417"/>
      <c r="E8" s="417"/>
      <c r="F8" s="417"/>
      <c r="G8" s="417"/>
      <c r="H8" s="417"/>
      <c r="I8" s="417"/>
      <c r="J8" s="417"/>
      <c r="K8" s="418"/>
      <c r="L8" s="419"/>
      <c r="M8" s="417"/>
      <c r="N8" s="417"/>
      <c r="O8" s="417"/>
      <c r="P8" s="417"/>
      <c r="Q8" s="420"/>
    </row>
    <row r="9" spans="2:19" ht="16.5" customHeight="1">
      <c r="B9" s="416"/>
      <c r="C9" s="417"/>
      <c r="D9" s="417"/>
      <c r="E9" s="417"/>
      <c r="F9" s="417"/>
      <c r="G9" s="417"/>
      <c r="H9" s="417"/>
      <c r="I9" s="417"/>
      <c r="J9" s="417"/>
      <c r="K9" s="418"/>
      <c r="L9" s="419"/>
      <c r="M9" s="417"/>
      <c r="N9" s="417"/>
      <c r="O9" s="417"/>
      <c r="P9" s="417"/>
      <c r="Q9" s="420"/>
    </row>
    <row r="10" spans="2:19" ht="26.25" customHeight="1">
      <c r="B10" s="334" t="s">
        <v>163</v>
      </c>
      <c r="C10" s="335"/>
      <c r="D10" s="335"/>
      <c r="E10" s="335"/>
      <c r="F10" s="335"/>
      <c r="G10" s="335"/>
      <c r="H10" s="335"/>
      <c r="I10" s="335"/>
      <c r="J10" s="335"/>
      <c r="K10" s="421"/>
      <c r="L10" s="422"/>
      <c r="M10" s="335"/>
      <c r="N10" s="335"/>
      <c r="O10" s="335"/>
      <c r="P10" s="335"/>
      <c r="Q10" s="336"/>
    </row>
    <row r="11" spans="2:19" ht="26.25" customHeight="1">
      <c r="B11" s="334" t="s">
        <v>10</v>
      </c>
      <c r="C11" s="335"/>
      <c r="D11" s="335"/>
      <c r="E11" s="335"/>
      <c r="F11" s="335"/>
      <c r="G11" s="335"/>
      <c r="H11" s="347" t="s">
        <v>105</v>
      </c>
      <c r="I11" s="403" t="s">
        <v>164</v>
      </c>
      <c r="J11" s="414" t="s">
        <v>259</v>
      </c>
      <c r="K11" s="415"/>
      <c r="L11" s="413"/>
      <c r="M11" s="402" t="s">
        <v>165</v>
      </c>
      <c r="N11" s="403"/>
      <c r="O11" s="347" t="s">
        <v>166</v>
      </c>
      <c r="P11" s="347" t="s">
        <v>167</v>
      </c>
      <c r="Q11" s="347" t="s">
        <v>93</v>
      </c>
    </row>
    <row r="12" spans="2:19" ht="26.25" customHeight="1">
      <c r="B12" s="323" t="s">
        <v>9</v>
      </c>
      <c r="C12" s="323" t="s">
        <v>15</v>
      </c>
      <c r="D12" s="323" t="s">
        <v>168</v>
      </c>
      <c r="E12" s="327" t="s">
        <v>120</v>
      </c>
      <c r="F12" s="327"/>
      <c r="G12" s="347" t="s">
        <v>111</v>
      </c>
      <c r="H12" s="348"/>
      <c r="I12" s="405"/>
      <c r="J12" s="93" t="s">
        <v>169</v>
      </c>
      <c r="K12" s="412" t="s">
        <v>170</v>
      </c>
      <c r="L12" s="413"/>
      <c r="M12" s="406"/>
      <c r="N12" s="407"/>
      <c r="O12" s="348"/>
      <c r="P12" s="348"/>
      <c r="Q12" s="348"/>
    </row>
    <row r="13" spans="2:19" ht="26.25" customHeight="1">
      <c r="B13" s="324"/>
      <c r="C13" s="324"/>
      <c r="D13" s="324"/>
      <c r="E13" s="33" t="s">
        <v>13</v>
      </c>
      <c r="F13" s="33" t="s">
        <v>14</v>
      </c>
      <c r="G13" s="349"/>
      <c r="H13" s="349"/>
      <c r="I13" s="407"/>
      <c r="J13" s="93" t="s">
        <v>171</v>
      </c>
      <c r="K13" s="94" t="s">
        <v>157</v>
      </c>
      <c r="L13" s="95" t="s">
        <v>172</v>
      </c>
      <c r="M13" s="93" t="s">
        <v>173</v>
      </c>
      <c r="N13" s="93" t="s">
        <v>174</v>
      </c>
      <c r="O13" s="349"/>
      <c r="P13" s="349"/>
      <c r="Q13" s="349"/>
    </row>
    <row r="14" spans="2:19" ht="25.5" customHeight="1">
      <c r="B14" s="96"/>
      <c r="C14" s="96"/>
      <c r="D14" s="97"/>
      <c r="E14" s="98"/>
      <c r="F14" s="98"/>
      <c r="G14" s="99"/>
      <c r="H14" s="96"/>
      <c r="I14" s="99"/>
      <c r="J14" s="100"/>
      <c r="K14" s="101"/>
      <c r="L14" s="101"/>
      <c r="M14" s="96"/>
      <c r="N14" s="101"/>
      <c r="O14" s="101"/>
      <c r="P14" s="102"/>
      <c r="Q14" s="103"/>
      <c r="S14" s="104"/>
    </row>
    <row r="15" spans="2:19" ht="25.5" customHeight="1">
      <c r="B15" s="96"/>
      <c r="C15" s="96"/>
      <c r="D15" s="97"/>
      <c r="E15" s="98"/>
      <c r="F15" s="98"/>
      <c r="G15" s="99"/>
      <c r="H15" s="96"/>
      <c r="I15" s="99"/>
      <c r="J15" s="100"/>
      <c r="K15" s="101"/>
      <c r="L15" s="101"/>
      <c r="M15" s="96"/>
      <c r="N15" s="101"/>
      <c r="O15" s="101"/>
      <c r="P15" s="102"/>
      <c r="Q15" s="103"/>
      <c r="S15" s="104"/>
    </row>
    <row r="16" spans="2:19" ht="25.5" customHeight="1">
      <c r="B16" s="96"/>
      <c r="C16" s="96"/>
      <c r="D16" s="97"/>
      <c r="E16" s="98"/>
      <c r="F16" s="98"/>
      <c r="G16" s="99"/>
      <c r="H16" s="96"/>
      <c r="I16" s="99"/>
      <c r="J16" s="100"/>
      <c r="K16" s="101"/>
      <c r="L16" s="101"/>
      <c r="M16" s="96"/>
      <c r="N16" s="101"/>
      <c r="O16" s="101"/>
      <c r="P16" s="102"/>
      <c r="Q16" s="103"/>
      <c r="S16" s="104"/>
    </row>
    <row r="17" spans="2:19" ht="25.5" customHeight="1">
      <c r="B17" s="96"/>
      <c r="C17" s="96"/>
      <c r="D17" s="97"/>
      <c r="E17" s="98"/>
      <c r="F17" s="98"/>
      <c r="G17" s="99"/>
      <c r="H17" s="96"/>
      <c r="I17" s="99"/>
      <c r="J17" s="100"/>
      <c r="K17" s="101"/>
      <c r="L17" s="101"/>
      <c r="M17" s="96"/>
      <c r="N17" s="101"/>
      <c r="O17" s="101"/>
      <c r="P17" s="102"/>
      <c r="Q17" s="103"/>
      <c r="S17" s="104"/>
    </row>
    <row r="18" spans="2:19" ht="25.5" customHeight="1">
      <c r="B18" s="96"/>
      <c r="C18" s="96"/>
      <c r="D18" s="97"/>
      <c r="E18" s="98"/>
      <c r="F18" s="98"/>
      <c r="G18" s="99"/>
      <c r="H18" s="96"/>
      <c r="I18" s="99"/>
      <c r="J18" s="100"/>
      <c r="K18" s="101"/>
      <c r="L18" s="101"/>
      <c r="M18" s="96"/>
      <c r="N18" s="101"/>
      <c r="O18" s="101"/>
      <c r="P18" s="102"/>
      <c r="Q18" s="103"/>
      <c r="S18" s="104"/>
    </row>
  </sheetData>
  <mergeCells count="22">
    <mergeCell ref="B5:Q5"/>
    <mergeCell ref="B2:Q2"/>
    <mergeCell ref="B4:Q4"/>
    <mergeCell ref="B6:Q6"/>
    <mergeCell ref="B7:Q7"/>
    <mergeCell ref="B8:Q8"/>
    <mergeCell ref="B9:Q9"/>
    <mergeCell ref="B10:Q10"/>
    <mergeCell ref="O11:O13"/>
    <mergeCell ref="P11:P13"/>
    <mergeCell ref="Q11:Q13"/>
    <mergeCell ref="B12:B13"/>
    <mergeCell ref="C12:C13"/>
    <mergeCell ref="D12:D13"/>
    <mergeCell ref="E12:F12"/>
    <mergeCell ref="G12:G13"/>
    <mergeCell ref="K12:L12"/>
    <mergeCell ref="B11:G11"/>
    <mergeCell ref="H11:H13"/>
    <mergeCell ref="I11:I13"/>
    <mergeCell ref="J11:L11"/>
    <mergeCell ref="M11:N1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2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3">
    <tabColor theme="7" tint="0.39997558519241921"/>
    <pageSetUpPr fitToPage="1"/>
  </sheetPr>
  <dimension ref="A2:W21"/>
  <sheetViews>
    <sheetView zoomScaleNormal="100" zoomScaleSheetLayoutView="100" workbookViewId="0">
      <selection activeCell="L16" sqref="L16"/>
    </sheetView>
  </sheetViews>
  <sheetFormatPr defaultRowHeight="12.75"/>
  <cols>
    <col min="1" max="1" width="9.140625" style="152"/>
    <col min="2" max="2" width="15.28515625" style="22" customWidth="1"/>
    <col min="3" max="5" width="13.5703125" style="22" customWidth="1"/>
    <col min="6" max="9" width="11" style="22" customWidth="1"/>
    <col min="10" max="13" width="13.5703125" style="22" customWidth="1"/>
    <col min="14" max="14" width="17.42578125" style="22" customWidth="1"/>
    <col min="15" max="15" width="13.5703125" style="22" customWidth="1"/>
    <col min="16" max="17" width="16.85546875" style="22" customWidth="1"/>
    <col min="18" max="18" width="16.5703125" style="22" customWidth="1"/>
    <col min="19" max="21" width="9.140625" style="152"/>
    <col min="22" max="16384" width="9.140625" style="22"/>
  </cols>
  <sheetData>
    <row r="2" spans="1:23">
      <c r="B2" s="219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18"/>
    </row>
    <row r="3" spans="1:23" ht="14.25">
      <c r="B3" s="437" t="s">
        <v>175</v>
      </c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9"/>
    </row>
    <row r="4" spans="1:23" ht="4.5" customHeight="1">
      <c r="B4" s="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7"/>
    </row>
    <row r="5" spans="1:23" ht="44.25" customHeight="1">
      <c r="B5" s="354" t="s">
        <v>260</v>
      </c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6"/>
    </row>
    <row r="6" spans="1:23" ht="18" customHeight="1">
      <c r="B6" s="328" t="s">
        <v>261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30"/>
    </row>
    <row r="7" spans="1:23" ht="61.5" customHeight="1">
      <c r="B7" s="328" t="s">
        <v>262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30"/>
    </row>
    <row r="8" spans="1:23" ht="69" customHeight="1">
      <c r="B8" s="328" t="s">
        <v>263</v>
      </c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30"/>
    </row>
    <row r="9" spans="1:23" ht="139.5" customHeight="1">
      <c r="B9" s="328" t="s">
        <v>264</v>
      </c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30"/>
    </row>
    <row r="10" spans="1:23" ht="24" customHeight="1">
      <c r="B10" s="328" t="s">
        <v>265</v>
      </c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30"/>
    </row>
    <row r="11" spans="1:23" ht="5.25" customHeight="1">
      <c r="B11" s="32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30"/>
    </row>
    <row r="12" spans="1:23" ht="26.25" customHeight="1">
      <c r="B12" s="334" t="s">
        <v>176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6"/>
    </row>
    <row r="13" spans="1:23" ht="26.25" customHeight="1">
      <c r="B13" s="334" t="s">
        <v>10</v>
      </c>
      <c r="C13" s="335"/>
      <c r="D13" s="335"/>
      <c r="E13" s="335"/>
      <c r="F13" s="335"/>
      <c r="G13" s="335"/>
      <c r="H13" s="335"/>
      <c r="I13" s="336"/>
      <c r="J13" s="342" t="s">
        <v>105</v>
      </c>
      <c r="K13" s="342" t="s">
        <v>125</v>
      </c>
      <c r="L13" s="433" t="s">
        <v>177</v>
      </c>
      <c r="M13" s="434"/>
      <c r="N13" s="372"/>
      <c r="O13" s="347" t="s">
        <v>178</v>
      </c>
      <c r="P13" s="347" t="s">
        <v>150</v>
      </c>
      <c r="Q13" s="347" t="s">
        <v>179</v>
      </c>
      <c r="R13" s="347" t="s">
        <v>93</v>
      </c>
    </row>
    <row r="14" spans="1:23" ht="26.25" customHeight="1">
      <c r="B14" s="323" t="s">
        <v>9</v>
      </c>
      <c r="C14" s="323" t="s">
        <v>15</v>
      </c>
      <c r="D14" s="323" t="s">
        <v>17</v>
      </c>
      <c r="E14" s="323" t="s">
        <v>16</v>
      </c>
      <c r="F14" s="334" t="s">
        <v>11</v>
      </c>
      <c r="G14" s="336"/>
      <c r="H14" s="334" t="s">
        <v>12</v>
      </c>
      <c r="I14" s="336"/>
      <c r="J14" s="343"/>
      <c r="K14" s="343"/>
      <c r="L14" s="435"/>
      <c r="M14" s="436"/>
      <c r="N14" s="374"/>
      <c r="O14" s="348"/>
      <c r="P14" s="348"/>
      <c r="Q14" s="348"/>
      <c r="R14" s="348"/>
    </row>
    <row r="15" spans="1:23" ht="35.25" customHeight="1">
      <c r="B15" s="324"/>
      <c r="C15" s="324"/>
      <c r="D15" s="324"/>
      <c r="E15" s="324"/>
      <c r="F15" s="227" t="s">
        <v>13</v>
      </c>
      <c r="G15" s="227" t="s">
        <v>14</v>
      </c>
      <c r="H15" s="227" t="s">
        <v>13</v>
      </c>
      <c r="I15" s="227" t="s">
        <v>14</v>
      </c>
      <c r="J15" s="344"/>
      <c r="K15" s="344"/>
      <c r="L15" s="248" t="s">
        <v>180</v>
      </c>
      <c r="M15" s="248" t="s">
        <v>181</v>
      </c>
      <c r="N15" s="248" t="s">
        <v>182</v>
      </c>
      <c r="O15" s="349"/>
      <c r="P15" s="349"/>
      <c r="Q15" s="349"/>
      <c r="R15" s="349"/>
    </row>
    <row r="16" spans="1:23" s="109" customFormat="1" ht="44.25" customHeight="1">
      <c r="A16" s="152"/>
      <c r="B16" s="96"/>
      <c r="C16" s="96"/>
      <c r="D16" s="97"/>
      <c r="E16" s="97"/>
      <c r="F16" s="98"/>
      <c r="G16" s="98"/>
      <c r="H16" s="98"/>
      <c r="I16" s="98"/>
      <c r="J16" s="96"/>
      <c r="K16" s="99"/>
      <c r="L16" s="105"/>
      <c r="M16" s="96"/>
      <c r="N16" s="96"/>
      <c r="O16" s="106"/>
      <c r="P16" s="107"/>
      <c r="Q16" s="108"/>
      <c r="R16" s="110"/>
      <c r="S16" s="152"/>
      <c r="T16" s="152"/>
      <c r="U16" s="152"/>
      <c r="V16" s="22"/>
      <c r="W16" s="22"/>
    </row>
    <row r="17" spans="1:23" s="109" customFormat="1" ht="44.25" customHeight="1">
      <c r="A17" s="152"/>
      <c r="B17" s="96"/>
      <c r="C17" s="96"/>
      <c r="D17" s="97"/>
      <c r="E17" s="97"/>
      <c r="F17" s="98"/>
      <c r="G17" s="98"/>
      <c r="H17" s="98"/>
      <c r="I17" s="98"/>
      <c r="J17" s="96"/>
      <c r="K17" s="99"/>
      <c r="L17" s="105"/>
      <c r="M17" s="96"/>
      <c r="N17" s="96"/>
      <c r="O17" s="106"/>
      <c r="P17" s="107"/>
      <c r="Q17" s="108"/>
      <c r="R17" s="110"/>
      <c r="S17" s="152"/>
      <c r="T17" s="152"/>
      <c r="U17" s="152"/>
      <c r="V17" s="22"/>
      <c r="W17" s="22"/>
    </row>
    <row r="18" spans="1:23" s="109" customFormat="1" ht="44.25" customHeight="1">
      <c r="A18" s="152"/>
      <c r="B18" s="96"/>
      <c r="C18" s="96"/>
      <c r="D18" s="97"/>
      <c r="E18" s="97"/>
      <c r="F18" s="98"/>
      <c r="G18" s="98"/>
      <c r="H18" s="98"/>
      <c r="I18" s="98"/>
      <c r="J18" s="96"/>
      <c r="K18" s="99"/>
      <c r="L18" s="105"/>
      <c r="M18" s="96"/>
      <c r="N18" s="96"/>
      <c r="O18" s="106"/>
      <c r="P18" s="107"/>
      <c r="Q18" s="108"/>
      <c r="R18" s="110"/>
      <c r="S18" s="152"/>
      <c r="T18" s="152"/>
      <c r="U18" s="152"/>
      <c r="V18" s="22"/>
      <c r="W18" s="22"/>
    </row>
    <row r="19" spans="1:23" s="109" customFormat="1" ht="44.25" customHeight="1">
      <c r="A19" s="152"/>
      <c r="B19" s="96"/>
      <c r="C19" s="96"/>
      <c r="D19" s="97"/>
      <c r="E19" s="97"/>
      <c r="F19" s="98"/>
      <c r="G19" s="98"/>
      <c r="H19" s="98"/>
      <c r="I19" s="98"/>
      <c r="J19" s="96"/>
      <c r="K19" s="99"/>
      <c r="L19" s="105"/>
      <c r="M19" s="96"/>
      <c r="N19" s="96"/>
      <c r="O19" s="106"/>
      <c r="P19" s="107"/>
      <c r="Q19" s="108"/>
      <c r="R19" s="110"/>
      <c r="S19" s="152"/>
      <c r="T19" s="152"/>
      <c r="U19" s="152"/>
      <c r="V19" s="22"/>
      <c r="W19" s="22"/>
    </row>
    <row r="20" spans="1:23" s="109" customFormat="1" ht="44.25" customHeight="1">
      <c r="A20" s="152"/>
      <c r="B20" s="96"/>
      <c r="C20" s="96"/>
      <c r="D20" s="97"/>
      <c r="E20" s="97"/>
      <c r="F20" s="98"/>
      <c r="G20" s="98"/>
      <c r="H20" s="98"/>
      <c r="I20" s="98"/>
      <c r="J20" s="96"/>
      <c r="K20" s="99"/>
      <c r="L20" s="105"/>
      <c r="M20" s="96"/>
      <c r="N20" s="96"/>
      <c r="O20" s="106"/>
      <c r="P20" s="107"/>
      <c r="Q20" s="108"/>
      <c r="R20" s="110"/>
      <c r="S20" s="152"/>
      <c r="T20" s="152"/>
      <c r="U20" s="152"/>
      <c r="V20" s="22"/>
      <c r="W20" s="22"/>
    </row>
    <row r="21" spans="1:23" s="109" customFormat="1" ht="44.25" customHeight="1">
      <c r="A21" s="152"/>
      <c r="B21" s="96"/>
      <c r="C21" s="96"/>
      <c r="D21" s="97"/>
      <c r="E21" s="97"/>
      <c r="F21" s="98"/>
      <c r="G21" s="98"/>
      <c r="H21" s="98"/>
      <c r="I21" s="98"/>
      <c r="J21" s="96"/>
      <c r="K21" s="99"/>
      <c r="L21" s="105"/>
      <c r="M21" s="96"/>
      <c r="N21" s="96"/>
      <c r="O21" s="106"/>
      <c r="P21" s="107"/>
      <c r="Q21" s="108"/>
      <c r="R21" s="110"/>
      <c r="S21" s="152"/>
      <c r="T21" s="152"/>
      <c r="U21" s="152"/>
      <c r="V21" s="22"/>
      <c r="W21" s="22"/>
    </row>
  </sheetData>
  <mergeCells count="23">
    <mergeCell ref="B12:R12"/>
    <mergeCell ref="B3:R3"/>
    <mergeCell ref="B5:R5"/>
    <mergeCell ref="B6:R6"/>
    <mergeCell ref="B7:R7"/>
    <mergeCell ref="B8:R8"/>
    <mergeCell ref="B9:R9"/>
    <mergeCell ref="B10:R10"/>
    <mergeCell ref="B11:R11"/>
    <mergeCell ref="Q13:Q15"/>
    <mergeCell ref="R13:R15"/>
    <mergeCell ref="O13:O15"/>
    <mergeCell ref="P13:P15"/>
    <mergeCell ref="H14:I14"/>
    <mergeCell ref="B13:I13"/>
    <mergeCell ref="J13:J15"/>
    <mergeCell ref="K13:K15"/>
    <mergeCell ref="L13:N14"/>
    <mergeCell ref="B14:B15"/>
    <mergeCell ref="C14:C15"/>
    <mergeCell ref="D14:D15"/>
    <mergeCell ref="E14:E15"/>
    <mergeCell ref="F14:G1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7">
    <tabColor theme="7" tint="0.39997558519241921"/>
    <pageSetUpPr fitToPage="1"/>
  </sheetPr>
  <dimension ref="B1:I13"/>
  <sheetViews>
    <sheetView zoomScaleNormal="100" zoomScaleSheetLayoutView="115" workbookViewId="0">
      <selection activeCell="N24" sqref="N24"/>
    </sheetView>
  </sheetViews>
  <sheetFormatPr defaultRowHeight="12.75"/>
  <cols>
    <col min="1" max="1" width="3.42578125" style="22" customWidth="1"/>
    <col min="2" max="2" width="17.42578125" style="22" customWidth="1"/>
    <col min="3" max="3" width="13.5703125" style="51" customWidth="1"/>
    <col min="4" max="4" width="13.5703125" style="22" customWidth="1"/>
    <col min="5" max="6" width="11" style="22" customWidth="1"/>
    <col min="7" max="7" width="13.5703125" style="51" customWidth="1"/>
    <col min="8" max="8" width="13.5703125" style="22" customWidth="1"/>
    <col min="9" max="9" width="12.7109375" style="22" customWidth="1"/>
    <col min="10" max="10" width="2.28515625" style="22" customWidth="1"/>
    <col min="11" max="16384" width="9.140625" style="22"/>
  </cols>
  <sheetData>
    <row r="1" spans="2:9">
      <c r="B1" s="219"/>
      <c r="C1" s="221"/>
      <c r="D1" s="220"/>
      <c r="E1" s="220"/>
      <c r="F1" s="220"/>
      <c r="G1" s="221"/>
      <c r="H1" s="220"/>
      <c r="I1" s="218"/>
    </row>
    <row r="2" spans="2:9" ht="14.25">
      <c r="B2" s="375" t="s">
        <v>183</v>
      </c>
      <c r="C2" s="397"/>
      <c r="D2" s="397"/>
      <c r="E2" s="397"/>
      <c r="F2" s="397"/>
      <c r="G2" s="397"/>
      <c r="H2" s="397"/>
      <c r="I2" s="398"/>
    </row>
    <row r="3" spans="2:9" ht="4.5" customHeight="1">
      <c r="B3" s="26"/>
      <c r="C3" s="524"/>
      <c r="D3" s="226"/>
      <c r="E3" s="226"/>
      <c r="F3" s="226"/>
      <c r="G3" s="524"/>
      <c r="H3" s="226"/>
      <c r="I3" s="27"/>
    </row>
    <row r="4" spans="2:9" ht="65.25" customHeight="1">
      <c r="B4" s="354" t="s">
        <v>266</v>
      </c>
      <c r="C4" s="355"/>
      <c r="D4" s="355"/>
      <c r="E4" s="355"/>
      <c r="F4" s="355"/>
      <c r="G4" s="355"/>
      <c r="H4" s="355"/>
      <c r="I4" s="356"/>
    </row>
    <row r="5" spans="2:9" ht="16.5" customHeight="1">
      <c r="B5" s="328"/>
      <c r="C5" s="368"/>
      <c r="D5" s="368"/>
      <c r="E5" s="368"/>
      <c r="F5" s="368"/>
      <c r="G5" s="368"/>
      <c r="H5" s="368"/>
      <c r="I5" s="330"/>
    </row>
    <row r="6" spans="2:9" ht="26.25" customHeight="1">
      <c r="B6" s="334" t="s">
        <v>184</v>
      </c>
      <c r="C6" s="335"/>
      <c r="D6" s="335"/>
      <c r="E6" s="335"/>
      <c r="F6" s="335"/>
      <c r="G6" s="335"/>
      <c r="H6" s="335"/>
      <c r="I6" s="336"/>
    </row>
    <row r="7" spans="2:9" ht="26.25" customHeight="1">
      <c r="B7" s="334" t="s">
        <v>10</v>
      </c>
      <c r="C7" s="335"/>
      <c r="D7" s="335"/>
      <c r="E7" s="335"/>
      <c r="F7" s="335"/>
      <c r="G7" s="342" t="s">
        <v>185</v>
      </c>
      <c r="H7" s="372" t="s">
        <v>186</v>
      </c>
      <c r="I7" s="347" t="s">
        <v>93</v>
      </c>
    </row>
    <row r="8" spans="2:9" ht="26.25" customHeight="1">
      <c r="B8" s="323" t="s">
        <v>9</v>
      </c>
      <c r="C8" s="347" t="s">
        <v>15</v>
      </c>
      <c r="D8" s="323" t="s">
        <v>168</v>
      </c>
      <c r="E8" s="319" t="s">
        <v>120</v>
      </c>
      <c r="F8" s="319"/>
      <c r="G8" s="343"/>
      <c r="H8" s="373"/>
      <c r="I8" s="348"/>
    </row>
    <row r="9" spans="2:9" ht="26.25" customHeight="1">
      <c r="B9" s="324"/>
      <c r="C9" s="349"/>
      <c r="D9" s="324"/>
      <c r="E9" s="227" t="s">
        <v>13</v>
      </c>
      <c r="F9" s="227" t="s">
        <v>14</v>
      </c>
      <c r="G9" s="344"/>
      <c r="H9" s="374"/>
      <c r="I9" s="349"/>
    </row>
    <row r="10" spans="2:9" ht="44.25" customHeight="1">
      <c r="B10" s="40"/>
      <c r="C10" s="38"/>
      <c r="D10" s="45"/>
      <c r="E10" s="59"/>
      <c r="F10" s="59"/>
      <c r="G10" s="40"/>
      <c r="H10" s="111"/>
      <c r="I10" s="65"/>
    </row>
    <row r="11" spans="2:9" ht="44.25" customHeight="1">
      <c r="B11" s="40"/>
      <c r="C11" s="38"/>
      <c r="D11" s="45"/>
      <c r="E11" s="59"/>
      <c r="F11" s="59"/>
      <c r="G11" s="40"/>
      <c r="H11" s="111"/>
      <c r="I11" s="65"/>
    </row>
    <row r="12" spans="2:9" ht="44.25" customHeight="1">
      <c r="B12" s="40"/>
      <c r="C12" s="38"/>
      <c r="D12" s="45"/>
      <c r="E12" s="59"/>
      <c r="F12" s="59"/>
      <c r="G12" s="40"/>
      <c r="H12" s="111"/>
      <c r="I12" s="65"/>
    </row>
    <row r="13" spans="2:9" ht="44.25" customHeight="1">
      <c r="B13" s="40"/>
      <c r="C13" s="38"/>
      <c r="D13" s="45"/>
      <c r="E13" s="59"/>
      <c r="F13" s="59"/>
      <c r="G13" s="40"/>
      <c r="H13" s="111"/>
      <c r="I13" s="65"/>
    </row>
  </sheetData>
  <mergeCells count="12">
    <mergeCell ref="B5:I5"/>
    <mergeCell ref="B2:I2"/>
    <mergeCell ref="B4:I4"/>
    <mergeCell ref="B6:I6"/>
    <mergeCell ref="B7:F7"/>
    <mergeCell ref="G7:G9"/>
    <mergeCell ref="H7:H9"/>
    <mergeCell ref="I7:I9"/>
    <mergeCell ref="B8:B9"/>
    <mergeCell ref="C8:C9"/>
    <mergeCell ref="D8:D9"/>
    <mergeCell ref="E8:F8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9">
    <tabColor theme="7" tint="0.39997558519241921"/>
    <pageSetUpPr fitToPage="1"/>
  </sheetPr>
  <dimension ref="B1:O23"/>
  <sheetViews>
    <sheetView workbookViewId="0">
      <selection activeCell="R9" sqref="R9"/>
    </sheetView>
  </sheetViews>
  <sheetFormatPr defaultColWidth="7.5703125" defaultRowHeight="12.75"/>
  <cols>
    <col min="1" max="1" width="7.5703125" style="21"/>
    <col min="2" max="2" width="22.28515625" style="84" customWidth="1"/>
    <col min="3" max="3" width="15" style="82" customWidth="1"/>
    <col min="4" max="5" width="13.5703125" style="112" customWidth="1"/>
    <col min="6" max="6" width="10.85546875" style="82" bestFit="1" customWidth="1"/>
    <col min="7" max="9" width="11.5703125" style="82" bestFit="1" customWidth="1"/>
    <col min="10" max="11" width="13.5703125" style="84" customWidth="1"/>
    <col min="12" max="12" width="13.5703125" style="82" customWidth="1"/>
    <col min="13" max="13" width="13.5703125" style="113" customWidth="1"/>
    <col min="14" max="14" width="16.85546875" style="114" customWidth="1"/>
    <col min="15" max="15" width="16.7109375" style="82" customWidth="1"/>
    <col min="16" max="16384" width="7.5703125" style="21"/>
  </cols>
  <sheetData>
    <row r="1" spans="2:15">
      <c r="B1" s="167"/>
      <c r="C1" s="525"/>
      <c r="D1" s="526"/>
      <c r="E1" s="526"/>
      <c r="F1" s="525"/>
      <c r="G1" s="525"/>
      <c r="H1" s="525"/>
      <c r="I1" s="525"/>
      <c r="J1" s="527"/>
      <c r="K1" s="527"/>
      <c r="L1" s="525"/>
      <c r="M1" s="528"/>
      <c r="N1" s="529"/>
      <c r="O1" s="539"/>
    </row>
    <row r="2" spans="2:15" ht="14.25">
      <c r="B2" s="449" t="s">
        <v>187</v>
      </c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540"/>
    </row>
    <row r="3" spans="2:15" ht="4.5" customHeight="1">
      <c r="B3" s="166"/>
      <c r="C3" s="530"/>
      <c r="D3" s="531"/>
      <c r="E3" s="531"/>
      <c r="F3" s="530"/>
      <c r="G3" s="530"/>
      <c r="H3" s="530"/>
      <c r="I3" s="530"/>
      <c r="J3" s="532"/>
      <c r="K3" s="532"/>
      <c r="L3" s="530"/>
      <c r="M3" s="533"/>
      <c r="N3" s="534"/>
      <c r="O3" s="541"/>
    </row>
    <row r="4" spans="2:15" ht="22.5" customHeight="1">
      <c r="B4" s="544" t="s">
        <v>188</v>
      </c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6"/>
    </row>
    <row r="5" spans="2:15" ht="85.5" customHeight="1">
      <c r="B5" s="547" t="s">
        <v>189</v>
      </c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9"/>
    </row>
    <row r="6" spans="2:15" ht="24" customHeight="1">
      <c r="B6" s="547" t="s">
        <v>190</v>
      </c>
      <c r="C6" s="548"/>
      <c r="D6" s="548"/>
      <c r="E6" s="548"/>
      <c r="F6" s="548"/>
      <c r="G6" s="548"/>
      <c r="H6" s="548"/>
      <c r="I6" s="548"/>
      <c r="J6" s="548"/>
      <c r="K6" s="548"/>
      <c r="L6" s="548"/>
      <c r="M6" s="548"/>
      <c r="N6" s="548"/>
      <c r="O6" s="549"/>
    </row>
    <row r="7" spans="2:15" ht="24" customHeight="1">
      <c r="B7" s="166"/>
      <c r="C7" s="532"/>
      <c r="D7" s="536"/>
      <c r="E7" s="536"/>
      <c r="F7" s="532"/>
      <c r="G7" s="532"/>
      <c r="H7" s="532"/>
      <c r="I7" s="532"/>
      <c r="J7" s="532"/>
      <c r="K7" s="532"/>
      <c r="L7" s="532"/>
      <c r="M7" s="537"/>
      <c r="N7" s="538"/>
      <c r="O7" s="543"/>
    </row>
    <row r="8" spans="2:15" ht="24" customHeight="1">
      <c r="B8" s="166"/>
      <c r="C8" s="532"/>
      <c r="D8" s="536"/>
      <c r="E8" s="536"/>
      <c r="F8" s="532"/>
      <c r="G8" s="532"/>
      <c r="H8" s="532"/>
      <c r="I8" s="532"/>
      <c r="J8" s="532"/>
      <c r="K8" s="532"/>
      <c r="L8" s="532"/>
      <c r="M8" s="537"/>
      <c r="N8" s="538"/>
      <c r="O8" s="543"/>
    </row>
    <row r="9" spans="2:15" ht="24" customHeight="1">
      <c r="B9" s="166"/>
      <c r="C9" s="532"/>
      <c r="D9" s="536"/>
      <c r="E9" s="536"/>
      <c r="F9" s="532"/>
      <c r="G9" s="532"/>
      <c r="H9" s="532"/>
      <c r="I9" s="532"/>
      <c r="J9" s="532"/>
      <c r="K9" s="532"/>
      <c r="L9" s="532"/>
      <c r="M9" s="537"/>
      <c r="N9" s="538"/>
      <c r="O9" s="543"/>
    </row>
    <row r="10" spans="2:15" ht="24" customHeight="1">
      <c r="B10" s="166"/>
      <c r="C10" s="532"/>
      <c r="D10" s="536"/>
      <c r="E10" s="536"/>
      <c r="F10" s="532"/>
      <c r="G10" s="532"/>
      <c r="H10" s="532"/>
      <c r="I10" s="532"/>
      <c r="J10" s="532"/>
      <c r="K10" s="532"/>
      <c r="L10" s="532"/>
      <c r="M10" s="537"/>
      <c r="N10" s="538"/>
      <c r="O10" s="543"/>
    </row>
    <row r="11" spans="2:15" ht="24" customHeight="1">
      <c r="B11" s="166"/>
      <c r="C11" s="532"/>
      <c r="D11" s="536"/>
      <c r="E11" s="536"/>
      <c r="F11" s="532"/>
      <c r="G11" s="532"/>
      <c r="H11" s="532"/>
      <c r="I11" s="532"/>
      <c r="J11" s="532"/>
      <c r="K11" s="532"/>
      <c r="L11" s="532"/>
      <c r="M11" s="537"/>
      <c r="N11" s="538"/>
      <c r="O11" s="543"/>
    </row>
    <row r="12" spans="2:15" ht="24" customHeight="1">
      <c r="B12" s="166"/>
      <c r="C12" s="532"/>
      <c r="D12" s="536"/>
      <c r="E12" s="536"/>
      <c r="F12" s="532"/>
      <c r="G12" s="532"/>
      <c r="H12" s="532"/>
      <c r="I12" s="532"/>
      <c r="J12" s="532"/>
      <c r="K12" s="532"/>
      <c r="L12" s="532"/>
      <c r="M12" s="537"/>
      <c r="N12" s="538"/>
      <c r="O12" s="543"/>
    </row>
    <row r="13" spans="2:15" ht="24" customHeight="1">
      <c r="B13" s="166"/>
      <c r="C13" s="532"/>
      <c r="D13" s="536"/>
      <c r="E13" s="536"/>
      <c r="F13" s="532"/>
      <c r="G13" s="532"/>
      <c r="H13" s="532"/>
      <c r="I13" s="532"/>
      <c r="J13" s="532"/>
      <c r="K13" s="532"/>
      <c r="L13" s="532"/>
      <c r="M13" s="537"/>
      <c r="N13" s="538"/>
      <c r="O13" s="543"/>
    </row>
    <row r="14" spans="2:15" ht="23.25" customHeight="1">
      <c r="B14" s="440"/>
      <c r="C14" s="535"/>
      <c r="D14" s="535"/>
      <c r="E14" s="535"/>
      <c r="F14" s="535"/>
      <c r="G14" s="535"/>
      <c r="H14" s="535"/>
      <c r="I14" s="535"/>
      <c r="J14" s="535"/>
      <c r="K14" s="535"/>
      <c r="L14" s="535"/>
      <c r="M14" s="535"/>
      <c r="N14" s="535"/>
      <c r="O14" s="542"/>
    </row>
    <row r="15" spans="2:15" ht="16.5" customHeight="1">
      <c r="B15" s="440"/>
      <c r="C15" s="535"/>
      <c r="D15" s="535"/>
      <c r="E15" s="535"/>
      <c r="F15" s="535"/>
      <c r="G15" s="535"/>
      <c r="H15" s="535"/>
      <c r="I15" s="535"/>
      <c r="J15" s="535"/>
      <c r="K15" s="535"/>
      <c r="L15" s="535"/>
      <c r="M15" s="535"/>
      <c r="N15" s="535"/>
      <c r="O15" s="542"/>
    </row>
    <row r="16" spans="2:15" ht="26.25" customHeight="1">
      <c r="B16" s="378" t="s">
        <v>191</v>
      </c>
      <c r="C16" s="379"/>
      <c r="D16" s="379"/>
      <c r="E16" s="379"/>
      <c r="F16" s="379"/>
      <c r="G16" s="379"/>
      <c r="H16" s="379"/>
      <c r="I16" s="379"/>
      <c r="J16" s="379"/>
      <c r="K16" s="379"/>
      <c r="L16" s="379"/>
      <c r="M16" s="379"/>
      <c r="N16" s="379"/>
      <c r="O16" s="380"/>
    </row>
    <row r="17" spans="2:15" ht="26.25" customHeight="1">
      <c r="B17" s="378" t="s">
        <v>10</v>
      </c>
      <c r="C17" s="379"/>
      <c r="D17" s="379"/>
      <c r="E17" s="379"/>
      <c r="F17" s="379"/>
      <c r="G17" s="379"/>
      <c r="H17" s="379"/>
      <c r="I17" s="379"/>
      <c r="J17" s="381" t="s">
        <v>192</v>
      </c>
      <c r="K17" s="441" t="s">
        <v>193</v>
      </c>
      <c r="L17" s="381" t="s">
        <v>194</v>
      </c>
      <c r="M17" s="115"/>
      <c r="N17" s="444" t="s">
        <v>107</v>
      </c>
      <c r="O17" s="384" t="s">
        <v>195</v>
      </c>
    </row>
    <row r="18" spans="2:15" ht="26.25" customHeight="1">
      <c r="B18" s="384" t="s">
        <v>9</v>
      </c>
      <c r="C18" s="376" t="s">
        <v>15</v>
      </c>
      <c r="D18" s="447" t="s">
        <v>17</v>
      </c>
      <c r="E18" s="447" t="s">
        <v>16</v>
      </c>
      <c r="F18" s="411" t="s">
        <v>11</v>
      </c>
      <c r="G18" s="411"/>
      <c r="H18" s="411" t="s">
        <v>12</v>
      </c>
      <c r="I18" s="411"/>
      <c r="J18" s="382"/>
      <c r="K18" s="442"/>
      <c r="L18" s="382"/>
      <c r="M18" s="116" t="s">
        <v>196</v>
      </c>
      <c r="N18" s="445"/>
      <c r="O18" s="385"/>
    </row>
    <row r="19" spans="2:15" ht="26.25" customHeight="1">
      <c r="B19" s="386"/>
      <c r="C19" s="377"/>
      <c r="D19" s="448"/>
      <c r="E19" s="448"/>
      <c r="F19" s="237" t="s">
        <v>13</v>
      </c>
      <c r="G19" s="237" t="s">
        <v>14</v>
      </c>
      <c r="H19" s="237" t="s">
        <v>13</v>
      </c>
      <c r="I19" s="237" t="s">
        <v>14</v>
      </c>
      <c r="J19" s="383"/>
      <c r="K19" s="443"/>
      <c r="L19" s="383"/>
      <c r="M19" s="117"/>
      <c r="N19" s="446"/>
      <c r="O19" s="386"/>
    </row>
    <row r="20" spans="2:15" ht="44.25" customHeight="1">
      <c r="B20" s="141"/>
      <c r="C20" s="142"/>
      <c r="D20" s="153"/>
      <c r="E20" s="153"/>
      <c r="F20" s="154"/>
      <c r="G20" s="154"/>
      <c r="H20" s="155"/>
      <c r="I20" s="155"/>
      <c r="J20" s="151"/>
      <c r="K20" s="151"/>
      <c r="L20" s="151"/>
      <c r="M20" s="156"/>
      <c r="N20" s="157"/>
      <c r="O20" s="157"/>
    </row>
    <row r="21" spans="2:15" ht="44.25" customHeight="1">
      <c r="B21" s="141"/>
      <c r="C21" s="142"/>
      <c r="D21" s="153"/>
      <c r="E21" s="153"/>
      <c r="F21" s="154"/>
      <c r="G21" s="154"/>
      <c r="H21" s="155"/>
      <c r="I21" s="155"/>
      <c r="J21" s="151"/>
      <c r="K21" s="151"/>
      <c r="L21" s="151"/>
      <c r="M21" s="156"/>
      <c r="N21" s="157"/>
      <c r="O21" s="157"/>
    </row>
    <row r="22" spans="2:15" ht="44.25" customHeight="1">
      <c r="B22" s="141"/>
      <c r="C22" s="142"/>
      <c r="D22" s="153"/>
      <c r="E22" s="153"/>
      <c r="F22" s="154"/>
      <c r="G22" s="154"/>
      <c r="H22" s="155"/>
      <c r="I22" s="155"/>
      <c r="J22" s="151"/>
      <c r="K22" s="151"/>
      <c r="L22" s="151"/>
      <c r="M22" s="156"/>
      <c r="N22" s="157"/>
      <c r="O22" s="157"/>
    </row>
    <row r="23" spans="2:15" ht="44.25" customHeight="1">
      <c r="B23" s="141"/>
      <c r="C23" s="142"/>
      <c r="D23" s="153"/>
      <c r="E23" s="153"/>
      <c r="F23" s="154"/>
      <c r="G23" s="154"/>
      <c r="H23" s="155"/>
      <c r="I23" s="155"/>
      <c r="J23" s="151"/>
      <c r="K23" s="151"/>
      <c r="L23" s="151"/>
      <c r="M23" s="158"/>
      <c r="N23" s="157"/>
      <c r="O23" s="157"/>
    </row>
  </sheetData>
  <mergeCells count="19">
    <mergeCell ref="B5:O5"/>
    <mergeCell ref="B2:O2"/>
    <mergeCell ref="B4:O4"/>
    <mergeCell ref="H18:I18"/>
    <mergeCell ref="B6:O6"/>
    <mergeCell ref="B14:O14"/>
    <mergeCell ref="B15:O15"/>
    <mergeCell ref="B16:O16"/>
    <mergeCell ref="B17:I17"/>
    <mergeCell ref="J17:J19"/>
    <mergeCell ref="K17:K19"/>
    <mergeCell ref="L17:L19"/>
    <mergeCell ref="N17:N19"/>
    <mergeCell ref="O17:O19"/>
    <mergeCell ref="B18:B19"/>
    <mergeCell ref="C18:C19"/>
    <mergeCell ref="D18:D19"/>
    <mergeCell ref="E18:E19"/>
    <mergeCell ref="F18:G18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7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>
    <tabColor theme="7" tint="0.39997558519241921"/>
    <pageSetUpPr fitToPage="1"/>
  </sheetPr>
  <dimension ref="B1:Q31"/>
  <sheetViews>
    <sheetView workbookViewId="0">
      <selection activeCell="H10" sqref="H10:I10"/>
    </sheetView>
  </sheetViews>
  <sheetFormatPr defaultColWidth="7.5703125" defaultRowHeight="12.75"/>
  <cols>
    <col min="1" max="1" width="3.85546875" style="4" customWidth="1"/>
    <col min="2" max="2" width="18.85546875" style="4" customWidth="1"/>
    <col min="3" max="3" width="19.42578125" style="4" customWidth="1"/>
    <col min="4" max="4" width="14.28515625" style="4" customWidth="1"/>
    <col min="5" max="5" width="9.85546875" style="4" bestFit="1" customWidth="1"/>
    <col min="6" max="9" width="12.7109375" style="4" customWidth="1"/>
    <col min="10" max="12" width="15.7109375" style="4" customWidth="1"/>
    <col min="13" max="13" width="31.42578125" style="4" customWidth="1"/>
    <col min="14" max="14" width="23.85546875" style="4" bestFit="1" customWidth="1"/>
    <col min="15" max="15" width="43.42578125" style="4" customWidth="1"/>
    <col min="16" max="16" width="8.28515625" style="4" bestFit="1" customWidth="1"/>
    <col min="17" max="16384" width="7.5703125" style="4"/>
  </cols>
  <sheetData>
    <row r="1" spans="2:17" ht="13.5" thickBot="1"/>
    <row r="2" spans="2:17" s="2" customFormat="1" ht="13.5" thickTop="1">
      <c r="B2" s="489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1"/>
    </row>
    <row r="3" spans="2:17" ht="15">
      <c r="B3" s="492" t="s">
        <v>20</v>
      </c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4"/>
    </row>
    <row r="4" spans="2:17" s="3" customFormat="1">
      <c r="B4" s="14"/>
      <c r="O4" s="15"/>
    </row>
    <row r="5" spans="2:17" s="3" customFormat="1" ht="12.75" customHeight="1">
      <c r="B5" s="495" t="s">
        <v>21</v>
      </c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7"/>
    </row>
    <row r="6" spans="2:17" s="3" customFormat="1">
      <c r="B6" s="498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500"/>
    </row>
    <row r="7" spans="2:17" s="3" customFormat="1" ht="80.25" customHeight="1">
      <c r="B7" s="486" t="s">
        <v>22</v>
      </c>
      <c r="C7" s="487"/>
      <c r="D7" s="487"/>
      <c r="E7" s="487"/>
      <c r="F7" s="487"/>
      <c r="G7" s="487"/>
      <c r="H7" s="487"/>
      <c r="I7" s="487"/>
      <c r="J7" s="487"/>
      <c r="K7" s="487"/>
      <c r="L7" s="487"/>
      <c r="M7" s="487"/>
      <c r="N7" s="487"/>
      <c r="O7" s="488"/>
    </row>
    <row r="8" spans="2:17" ht="20.100000000000001" customHeight="1">
      <c r="B8" s="470" t="s">
        <v>23</v>
      </c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2"/>
    </row>
    <row r="9" spans="2:17" ht="38.25" customHeight="1">
      <c r="B9" s="473" t="s">
        <v>10</v>
      </c>
      <c r="C9" s="471"/>
      <c r="D9" s="471"/>
      <c r="E9" s="471"/>
      <c r="F9" s="471"/>
      <c r="G9" s="471"/>
      <c r="H9" s="471"/>
      <c r="I9" s="471"/>
      <c r="J9" s="474" t="s">
        <v>24</v>
      </c>
      <c r="K9" s="475"/>
      <c r="L9" s="476"/>
      <c r="M9" s="477" t="s">
        <v>25</v>
      </c>
      <c r="N9" s="478" t="s">
        <v>26</v>
      </c>
      <c r="O9" s="481" t="s">
        <v>32</v>
      </c>
    </row>
    <row r="10" spans="2:17" ht="20.100000000000001" customHeight="1">
      <c r="B10" s="473" t="s">
        <v>9</v>
      </c>
      <c r="C10" s="471" t="s">
        <v>15</v>
      </c>
      <c r="D10" s="471" t="s">
        <v>17</v>
      </c>
      <c r="E10" s="471" t="s">
        <v>16</v>
      </c>
      <c r="F10" s="471" t="s">
        <v>11</v>
      </c>
      <c r="G10" s="471"/>
      <c r="H10" s="471" t="s">
        <v>12</v>
      </c>
      <c r="I10" s="471"/>
      <c r="J10" s="484" t="s">
        <v>6</v>
      </c>
      <c r="K10" s="484" t="s">
        <v>27</v>
      </c>
      <c r="L10" s="484" t="s">
        <v>28</v>
      </c>
      <c r="M10" s="477"/>
      <c r="N10" s="479"/>
      <c r="O10" s="482"/>
    </row>
    <row r="11" spans="2:17" ht="20.100000000000001" customHeight="1">
      <c r="B11" s="473"/>
      <c r="C11" s="471"/>
      <c r="D11" s="471"/>
      <c r="E11" s="471"/>
      <c r="F11" s="5" t="s">
        <v>13</v>
      </c>
      <c r="G11" s="5" t="s">
        <v>14</v>
      </c>
      <c r="H11" s="5" t="s">
        <v>13</v>
      </c>
      <c r="I11" s="5" t="s">
        <v>14</v>
      </c>
      <c r="J11" s="485"/>
      <c r="K11" s="485"/>
      <c r="L11" s="485"/>
      <c r="M11" s="477"/>
      <c r="N11" s="480"/>
      <c r="O11" s="483"/>
    </row>
    <row r="12" spans="2:17" ht="24.95" customHeight="1">
      <c r="B12" s="455"/>
      <c r="C12" s="458"/>
      <c r="D12" s="461"/>
      <c r="E12" s="462"/>
      <c r="F12" s="467"/>
      <c r="G12" s="467"/>
      <c r="H12" s="467"/>
      <c r="I12" s="467"/>
      <c r="J12" s="6"/>
      <c r="K12" s="6"/>
      <c r="L12" s="7"/>
      <c r="M12" s="8"/>
      <c r="N12" s="9"/>
      <c r="O12" s="20"/>
      <c r="P12" s="10"/>
      <c r="Q12" s="11"/>
    </row>
    <row r="13" spans="2:17" ht="24.95" customHeight="1">
      <c r="B13" s="456"/>
      <c r="C13" s="459"/>
      <c r="D13" s="463"/>
      <c r="E13" s="464"/>
      <c r="F13" s="468"/>
      <c r="G13" s="468"/>
      <c r="H13" s="468"/>
      <c r="I13" s="468"/>
      <c r="J13" s="6"/>
      <c r="K13" s="6"/>
      <c r="L13" s="7"/>
      <c r="M13" s="8"/>
      <c r="N13" s="9"/>
      <c r="O13" s="20"/>
      <c r="P13" s="10"/>
      <c r="Q13" s="11"/>
    </row>
    <row r="14" spans="2:17" ht="24.95" customHeight="1">
      <c r="B14" s="456"/>
      <c r="C14" s="459"/>
      <c r="D14" s="463"/>
      <c r="E14" s="464"/>
      <c r="F14" s="468"/>
      <c r="G14" s="468"/>
      <c r="H14" s="468"/>
      <c r="I14" s="468"/>
      <c r="J14" s="6"/>
      <c r="K14" s="6"/>
      <c r="L14" s="7"/>
      <c r="M14" s="8"/>
      <c r="N14" s="9"/>
      <c r="O14" s="20"/>
      <c r="P14" s="10"/>
      <c r="Q14" s="11"/>
    </row>
    <row r="15" spans="2:17" ht="24.95" customHeight="1">
      <c r="B15" s="457"/>
      <c r="C15" s="460"/>
      <c r="D15" s="465"/>
      <c r="E15" s="466"/>
      <c r="F15" s="469"/>
      <c r="G15" s="469"/>
      <c r="H15" s="469"/>
      <c r="I15" s="469"/>
      <c r="J15" s="6"/>
      <c r="K15" s="6"/>
      <c r="L15" s="7"/>
      <c r="M15" s="8"/>
      <c r="N15" s="9"/>
      <c r="O15" s="20"/>
      <c r="P15" s="10"/>
      <c r="Q15" s="11"/>
    </row>
    <row r="16" spans="2:17" ht="20.100000000000001" customHeight="1">
      <c r="B16" s="451" t="s">
        <v>29</v>
      </c>
      <c r="C16" s="452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12">
        <f>SUM(N14:N15)</f>
        <v>0</v>
      </c>
      <c r="O16" s="16"/>
      <c r="Q16" s="11"/>
    </row>
    <row r="17" spans="2:17" ht="20.100000000000001" customHeight="1">
      <c r="B17" s="451" t="s">
        <v>30</v>
      </c>
      <c r="C17" s="452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19"/>
      <c r="O17" s="16"/>
      <c r="Q17" s="11"/>
    </row>
    <row r="18" spans="2:17" ht="20.100000000000001" customHeight="1" thickBot="1">
      <c r="B18" s="453" t="s">
        <v>31</v>
      </c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17" t="e">
        <f>N16/N17</f>
        <v>#DIV/0!</v>
      </c>
      <c r="O18" s="18"/>
    </row>
    <row r="19" spans="2:17" ht="13.5" thickTop="1"/>
    <row r="23" spans="2:17">
      <c r="K23" s="13"/>
      <c r="L23" s="13"/>
      <c r="M23" s="13"/>
    </row>
    <row r="24" spans="2:17">
      <c r="K24" s="13"/>
      <c r="L24" s="13"/>
      <c r="M24" s="13"/>
    </row>
    <row r="25" spans="2:17">
      <c r="K25" s="13"/>
      <c r="L25" s="13"/>
      <c r="M25" s="13"/>
    </row>
    <row r="26" spans="2:17">
      <c r="K26" s="13"/>
      <c r="L26" s="13"/>
      <c r="M26" s="13"/>
    </row>
    <row r="27" spans="2:17">
      <c r="K27" s="13"/>
      <c r="L27" s="13"/>
      <c r="M27" s="13"/>
    </row>
    <row r="28" spans="2:17">
      <c r="K28" s="13"/>
      <c r="L28" s="13"/>
      <c r="M28" s="13"/>
    </row>
    <row r="29" spans="2:17">
      <c r="K29" s="13"/>
      <c r="L29" s="13"/>
      <c r="M29" s="13"/>
    </row>
    <row r="30" spans="2:17">
      <c r="K30" s="13"/>
      <c r="L30" s="13"/>
      <c r="M30" s="13"/>
    </row>
    <row r="31" spans="2:17">
      <c r="K31" s="13"/>
      <c r="L31" s="13"/>
      <c r="M31" s="13"/>
    </row>
  </sheetData>
  <mergeCells count="29">
    <mergeCell ref="B7:O7"/>
    <mergeCell ref="B2:O2"/>
    <mergeCell ref="B3:O3"/>
    <mergeCell ref="B5:O6"/>
    <mergeCell ref="B8:O8"/>
    <mergeCell ref="B9:I9"/>
    <mergeCell ref="J9:L9"/>
    <mergeCell ref="M9:M11"/>
    <mergeCell ref="N9:N11"/>
    <mergeCell ref="O9:O11"/>
    <mergeCell ref="B10:B11"/>
    <mergeCell ref="C10:C11"/>
    <mergeCell ref="D10:D11"/>
    <mergeCell ref="E10:E11"/>
    <mergeCell ref="F10:G10"/>
    <mergeCell ref="H10:I10"/>
    <mergeCell ref="J10:J11"/>
    <mergeCell ref="K10:K11"/>
    <mergeCell ref="L10:L11"/>
    <mergeCell ref="B17:M17"/>
    <mergeCell ref="B18:M18"/>
    <mergeCell ref="B12:B15"/>
    <mergeCell ref="C12:C15"/>
    <mergeCell ref="D12:E15"/>
    <mergeCell ref="F12:F15"/>
    <mergeCell ref="G12:G15"/>
    <mergeCell ref="H12:H15"/>
    <mergeCell ref="B16:M16"/>
    <mergeCell ref="I12:I1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9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5">
    <tabColor theme="7" tint="0.39997558519241921"/>
    <pageSetUpPr fitToPage="1"/>
  </sheetPr>
  <dimension ref="A1:Q279"/>
  <sheetViews>
    <sheetView workbookViewId="0">
      <selection activeCell="F13" sqref="F13"/>
    </sheetView>
  </sheetViews>
  <sheetFormatPr defaultColWidth="9.140625" defaultRowHeight="12.75"/>
  <cols>
    <col min="1" max="1" width="1.28515625" style="1" customWidth="1"/>
    <col min="2" max="2" width="16" style="1" customWidth="1"/>
    <col min="3" max="3" width="14.7109375" style="1" customWidth="1"/>
    <col min="4" max="12" width="16.42578125" style="118" customWidth="1"/>
    <col min="13" max="13" width="33" style="118" bestFit="1" customWidth="1"/>
    <col min="14" max="14" width="20.140625" style="126" customWidth="1"/>
    <col min="15" max="15" width="21.42578125" style="126" customWidth="1"/>
    <col min="16" max="16" width="19.42578125" style="126" customWidth="1"/>
    <col min="17" max="17" width="16.42578125" style="131" customWidth="1"/>
    <col min="18" max="18" width="2.28515625" style="132" customWidth="1"/>
    <col min="19" max="16384" width="9.140625" style="132"/>
  </cols>
  <sheetData>
    <row r="1" spans="2:17" ht="12.75" customHeight="1" thickBot="1"/>
    <row r="2" spans="2:17" ht="20.100000000000001" customHeight="1" thickTop="1" thickBot="1">
      <c r="B2" s="503" t="s">
        <v>197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5"/>
    </row>
    <row r="3" spans="2:17" ht="93.75" customHeight="1" thickTop="1">
      <c r="B3" s="506" t="s">
        <v>198</v>
      </c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8"/>
    </row>
    <row r="4" spans="2:17" ht="20.100000000000001" customHeight="1" thickBot="1">
      <c r="B4" s="509" t="s">
        <v>199</v>
      </c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1"/>
    </row>
    <row r="5" spans="2:17" s="1" customFormat="1" ht="20.100000000000001" customHeight="1" thickTop="1" thickBot="1"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26"/>
      <c r="O5" s="126"/>
      <c r="P5" s="126"/>
    </row>
    <row r="6" spans="2:17" ht="20.100000000000001" customHeight="1" thickTop="1">
      <c r="B6" s="512" t="s">
        <v>200</v>
      </c>
      <c r="C6" s="513"/>
      <c r="D6" s="513"/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4"/>
    </row>
    <row r="7" spans="2:17" ht="20.100000000000001" customHeight="1">
      <c r="B7" s="515" t="s">
        <v>201</v>
      </c>
      <c r="C7" s="501"/>
      <c r="D7" s="501"/>
      <c r="E7" s="501"/>
      <c r="F7" s="501"/>
      <c r="G7" s="501"/>
      <c r="H7" s="501"/>
      <c r="I7" s="501"/>
      <c r="J7" s="501" t="s">
        <v>210</v>
      </c>
      <c r="K7" s="501"/>
      <c r="L7" s="501"/>
      <c r="M7" s="501" t="s">
        <v>211</v>
      </c>
      <c r="N7" s="516" t="s">
        <v>202</v>
      </c>
      <c r="O7" s="516" t="s">
        <v>203</v>
      </c>
      <c r="P7" s="516" t="s">
        <v>204</v>
      </c>
      <c r="Q7" s="518" t="s">
        <v>139</v>
      </c>
    </row>
    <row r="8" spans="2:17" ht="20.100000000000001" customHeight="1">
      <c r="B8" s="520" t="s">
        <v>9</v>
      </c>
      <c r="C8" s="522" t="s">
        <v>205</v>
      </c>
      <c r="D8" s="522" t="s">
        <v>206</v>
      </c>
      <c r="E8" s="522" t="s">
        <v>207</v>
      </c>
      <c r="F8" s="501" t="s">
        <v>208</v>
      </c>
      <c r="G8" s="501"/>
      <c r="H8" s="501" t="s">
        <v>209</v>
      </c>
      <c r="I8" s="501"/>
      <c r="J8" s="501" t="s">
        <v>6</v>
      </c>
      <c r="K8" s="501" t="s">
        <v>27</v>
      </c>
      <c r="L8" s="501" t="s">
        <v>28</v>
      </c>
      <c r="M8" s="501"/>
      <c r="N8" s="516"/>
      <c r="O8" s="516"/>
      <c r="P8" s="516"/>
      <c r="Q8" s="518"/>
    </row>
    <row r="9" spans="2:17" ht="20.100000000000001" customHeight="1" thickBot="1">
      <c r="B9" s="521"/>
      <c r="C9" s="523"/>
      <c r="D9" s="523"/>
      <c r="E9" s="523"/>
      <c r="F9" s="119" t="s">
        <v>13</v>
      </c>
      <c r="G9" s="119" t="s">
        <v>14</v>
      </c>
      <c r="H9" s="119" t="s">
        <v>13</v>
      </c>
      <c r="I9" s="119" t="s">
        <v>14</v>
      </c>
      <c r="J9" s="502"/>
      <c r="K9" s="502"/>
      <c r="L9" s="502"/>
      <c r="M9" s="502"/>
      <c r="N9" s="517"/>
      <c r="O9" s="517"/>
      <c r="P9" s="517"/>
      <c r="Q9" s="519"/>
    </row>
    <row r="10" spans="2:17" ht="20.100000000000001" customHeight="1" thickTop="1">
      <c r="B10" s="133"/>
      <c r="C10" s="134"/>
      <c r="D10" s="135"/>
      <c r="E10" s="135"/>
      <c r="F10" s="134"/>
      <c r="G10" s="134"/>
      <c r="H10" s="134"/>
      <c r="I10" s="134"/>
      <c r="J10" s="134"/>
      <c r="K10" s="134"/>
      <c r="L10" s="134"/>
      <c r="M10" s="136"/>
      <c r="N10" s="137"/>
      <c r="O10" s="137"/>
      <c r="P10" s="137"/>
      <c r="Q10" s="138"/>
    </row>
    <row r="11" spans="2:17" ht="20.100000000000001" customHeight="1">
      <c r="B11" s="120"/>
      <c r="C11" s="121"/>
      <c r="D11" s="129"/>
      <c r="E11" s="129"/>
      <c r="F11" s="121"/>
      <c r="G11" s="121"/>
      <c r="H11" s="121"/>
      <c r="I11" s="121"/>
      <c r="J11" s="121"/>
      <c r="K11" s="121"/>
      <c r="L11" s="121"/>
      <c r="M11" s="130"/>
      <c r="N11" s="127"/>
      <c r="O11" s="127"/>
      <c r="P11" s="127"/>
      <c r="Q11" s="122"/>
    </row>
    <row r="12" spans="2:17" ht="20.100000000000001" customHeight="1">
      <c r="B12" s="120"/>
      <c r="C12" s="121"/>
      <c r="D12" s="129"/>
      <c r="E12" s="129"/>
      <c r="F12" s="121"/>
      <c r="G12" s="121"/>
      <c r="H12" s="121"/>
      <c r="I12" s="121"/>
      <c r="J12" s="121"/>
      <c r="K12" s="121"/>
      <c r="L12" s="121"/>
      <c r="M12" s="121"/>
      <c r="N12" s="127"/>
      <c r="O12" s="127"/>
      <c r="P12" s="127"/>
      <c r="Q12" s="122"/>
    </row>
    <row r="13" spans="2:17" ht="20.100000000000001" customHeight="1">
      <c r="B13" s="120"/>
      <c r="C13" s="121"/>
      <c r="D13" s="129"/>
      <c r="E13" s="129"/>
      <c r="F13" s="121"/>
      <c r="G13" s="121"/>
      <c r="H13" s="121"/>
      <c r="I13" s="121"/>
      <c r="J13" s="121"/>
      <c r="K13" s="121"/>
      <c r="L13" s="121"/>
      <c r="M13" s="121"/>
      <c r="N13" s="127"/>
      <c r="O13" s="127"/>
      <c r="P13" s="127"/>
      <c r="Q13" s="122"/>
    </row>
    <row r="14" spans="2:17" ht="20.100000000000001" customHeight="1" thickBot="1">
      <c r="B14" s="139"/>
      <c r="C14" s="140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8"/>
      <c r="O14" s="128"/>
      <c r="P14" s="128"/>
      <c r="Q14" s="124"/>
    </row>
    <row r="15" spans="2:17" ht="20.100000000000001" customHeight="1" thickTop="1">
      <c r="Q15" s="125"/>
    </row>
    <row r="16" spans="2:17" ht="20.100000000000001" customHeight="1">
      <c r="Q16" s="125"/>
    </row>
    <row r="17" spans="17:17" ht="20.100000000000001" customHeight="1">
      <c r="Q17" s="125"/>
    </row>
    <row r="18" spans="17:17" ht="20.100000000000001" customHeight="1">
      <c r="Q18" s="125"/>
    </row>
    <row r="19" spans="17:17" ht="20.100000000000001" customHeight="1">
      <c r="Q19" s="125"/>
    </row>
    <row r="20" spans="17:17" ht="20.100000000000001" customHeight="1">
      <c r="Q20" s="125"/>
    </row>
    <row r="21" spans="17:17" ht="20.100000000000001" customHeight="1">
      <c r="Q21" s="125"/>
    </row>
    <row r="22" spans="17:17" ht="20.100000000000001" customHeight="1">
      <c r="Q22" s="125"/>
    </row>
    <row r="23" spans="17:17" ht="20.100000000000001" customHeight="1">
      <c r="Q23" s="125"/>
    </row>
    <row r="24" spans="17:17" ht="20.100000000000001" customHeight="1">
      <c r="Q24" s="125"/>
    </row>
    <row r="25" spans="17:17" ht="20.100000000000001" customHeight="1">
      <c r="Q25" s="125"/>
    </row>
    <row r="26" spans="17:17" ht="20.100000000000001" customHeight="1">
      <c r="Q26" s="125"/>
    </row>
    <row r="27" spans="17:17" ht="20.100000000000001" customHeight="1">
      <c r="Q27" s="125"/>
    </row>
    <row r="28" spans="17:17" ht="20.100000000000001" customHeight="1">
      <c r="Q28" s="125"/>
    </row>
    <row r="29" spans="17:17" ht="20.100000000000001" customHeight="1">
      <c r="Q29" s="125"/>
    </row>
    <row r="30" spans="17:17" ht="20.100000000000001" customHeight="1">
      <c r="Q30" s="125"/>
    </row>
    <row r="31" spans="17:17" ht="20.100000000000001" customHeight="1">
      <c r="Q31" s="125"/>
    </row>
    <row r="32" spans="17:17" ht="20.100000000000001" customHeight="1">
      <c r="Q32" s="125"/>
    </row>
    <row r="33" spans="17:17" ht="20.100000000000001" customHeight="1">
      <c r="Q33" s="125"/>
    </row>
    <row r="34" spans="17:17" ht="20.100000000000001" customHeight="1">
      <c r="Q34" s="125"/>
    </row>
    <row r="35" spans="17:17" ht="20.100000000000001" customHeight="1">
      <c r="Q35" s="125"/>
    </row>
    <row r="36" spans="17:17" ht="20.100000000000001" customHeight="1">
      <c r="Q36" s="125"/>
    </row>
    <row r="37" spans="17:17" ht="20.100000000000001" customHeight="1">
      <c r="Q37" s="125"/>
    </row>
    <row r="38" spans="17:17" ht="20.100000000000001" customHeight="1">
      <c r="Q38" s="125"/>
    </row>
    <row r="39" spans="17:17" ht="20.100000000000001" customHeight="1">
      <c r="Q39" s="125"/>
    </row>
    <row r="40" spans="17:17" ht="20.100000000000001" customHeight="1">
      <c r="Q40" s="125"/>
    </row>
    <row r="41" spans="17:17" ht="20.100000000000001" customHeight="1">
      <c r="Q41" s="125"/>
    </row>
    <row r="42" spans="17:17" ht="20.100000000000001" customHeight="1">
      <c r="Q42" s="125"/>
    </row>
    <row r="43" spans="17:17" ht="20.100000000000001" customHeight="1">
      <c r="Q43" s="125"/>
    </row>
    <row r="44" spans="17:17" ht="20.100000000000001" customHeight="1">
      <c r="Q44" s="125"/>
    </row>
    <row r="45" spans="17:17" ht="20.100000000000001" customHeight="1">
      <c r="Q45" s="125"/>
    </row>
    <row r="46" spans="17:17" ht="20.100000000000001" customHeight="1">
      <c r="Q46" s="125"/>
    </row>
    <row r="47" spans="17:17" ht="20.100000000000001" customHeight="1">
      <c r="Q47" s="125"/>
    </row>
    <row r="48" spans="17:17" ht="20.100000000000001" customHeight="1">
      <c r="Q48" s="125"/>
    </row>
    <row r="49" spans="17:17" ht="20.100000000000001" customHeight="1">
      <c r="Q49" s="125"/>
    </row>
    <row r="50" spans="17:17" ht="20.100000000000001" customHeight="1">
      <c r="Q50" s="125"/>
    </row>
    <row r="51" spans="17:17" ht="20.100000000000001" customHeight="1">
      <c r="Q51" s="125"/>
    </row>
    <row r="52" spans="17:17" ht="20.100000000000001" customHeight="1">
      <c r="Q52" s="125"/>
    </row>
    <row r="53" spans="17:17" ht="20.100000000000001" customHeight="1">
      <c r="Q53" s="125"/>
    </row>
    <row r="54" spans="17:17" ht="20.100000000000001" customHeight="1">
      <c r="Q54" s="125"/>
    </row>
    <row r="55" spans="17:17" ht="20.100000000000001" customHeight="1">
      <c r="Q55" s="125"/>
    </row>
    <row r="56" spans="17:17" ht="20.100000000000001" customHeight="1">
      <c r="Q56" s="125"/>
    </row>
    <row r="57" spans="17:17" ht="20.100000000000001" customHeight="1">
      <c r="Q57" s="125"/>
    </row>
    <row r="58" spans="17:17" ht="20.100000000000001" customHeight="1">
      <c r="Q58" s="125"/>
    </row>
    <row r="59" spans="17:17" ht="20.100000000000001" customHeight="1">
      <c r="Q59" s="125"/>
    </row>
    <row r="60" spans="17:17" ht="20.100000000000001" customHeight="1">
      <c r="Q60" s="125"/>
    </row>
    <row r="61" spans="17:17" ht="20.100000000000001" customHeight="1">
      <c r="Q61" s="125"/>
    </row>
    <row r="62" spans="17:17" ht="20.100000000000001" customHeight="1">
      <c r="Q62" s="125"/>
    </row>
    <row r="63" spans="17:17" ht="20.100000000000001" customHeight="1">
      <c r="Q63" s="125"/>
    </row>
    <row r="64" spans="17:17" ht="20.100000000000001" customHeight="1">
      <c r="Q64" s="125"/>
    </row>
    <row r="65" spans="17:17" ht="20.100000000000001" customHeight="1">
      <c r="Q65" s="125"/>
    </row>
    <row r="66" spans="17:17" ht="20.100000000000001" customHeight="1">
      <c r="Q66" s="125"/>
    </row>
    <row r="67" spans="17:17" ht="20.100000000000001" customHeight="1">
      <c r="Q67" s="125"/>
    </row>
    <row r="68" spans="17:17" ht="20.100000000000001" customHeight="1">
      <c r="Q68" s="125"/>
    </row>
    <row r="69" spans="17:17" ht="20.100000000000001" customHeight="1">
      <c r="Q69" s="125"/>
    </row>
    <row r="70" spans="17:17" ht="20.100000000000001" customHeight="1">
      <c r="Q70" s="125"/>
    </row>
    <row r="71" spans="17:17" ht="20.100000000000001" customHeight="1">
      <c r="Q71" s="125"/>
    </row>
    <row r="72" spans="17:17" ht="20.100000000000001" customHeight="1">
      <c r="Q72" s="125"/>
    </row>
    <row r="73" spans="17:17" ht="20.100000000000001" customHeight="1">
      <c r="Q73" s="125"/>
    </row>
    <row r="74" spans="17:17" ht="20.100000000000001" customHeight="1">
      <c r="Q74" s="125"/>
    </row>
    <row r="75" spans="17:17" ht="20.100000000000001" customHeight="1">
      <c r="Q75" s="125"/>
    </row>
    <row r="76" spans="17:17" ht="20.100000000000001" customHeight="1">
      <c r="Q76" s="125"/>
    </row>
    <row r="77" spans="17:17" ht="20.100000000000001" customHeight="1">
      <c r="Q77" s="125"/>
    </row>
    <row r="78" spans="17:17" ht="20.100000000000001" customHeight="1">
      <c r="Q78" s="125"/>
    </row>
    <row r="79" spans="17:17" ht="20.100000000000001" customHeight="1">
      <c r="Q79" s="125"/>
    </row>
    <row r="80" spans="17:17" ht="20.100000000000001" customHeight="1">
      <c r="Q80" s="125"/>
    </row>
    <row r="81" spans="17:17" ht="20.100000000000001" customHeight="1">
      <c r="Q81" s="125"/>
    </row>
    <row r="82" spans="17:17" ht="20.100000000000001" customHeight="1">
      <c r="Q82" s="125"/>
    </row>
    <row r="83" spans="17:17" ht="20.100000000000001" customHeight="1">
      <c r="Q83" s="125"/>
    </row>
    <row r="84" spans="17:17" ht="20.100000000000001" customHeight="1">
      <c r="Q84" s="125"/>
    </row>
    <row r="85" spans="17:17" ht="20.100000000000001" customHeight="1">
      <c r="Q85" s="125"/>
    </row>
    <row r="86" spans="17:17" ht="20.100000000000001" customHeight="1">
      <c r="Q86" s="125"/>
    </row>
    <row r="87" spans="17:17" ht="20.100000000000001" customHeight="1">
      <c r="Q87" s="125"/>
    </row>
    <row r="88" spans="17:17" ht="20.100000000000001" customHeight="1">
      <c r="Q88" s="125"/>
    </row>
    <row r="89" spans="17:17" ht="20.100000000000001" customHeight="1">
      <c r="Q89" s="125"/>
    </row>
    <row r="90" spans="17:17" ht="20.100000000000001" customHeight="1">
      <c r="Q90" s="125"/>
    </row>
    <row r="91" spans="17:17" ht="20.100000000000001" customHeight="1">
      <c r="Q91" s="125"/>
    </row>
    <row r="92" spans="17:17" ht="20.100000000000001" customHeight="1">
      <c r="Q92" s="125"/>
    </row>
    <row r="93" spans="17:17" ht="20.100000000000001" customHeight="1">
      <c r="Q93" s="125"/>
    </row>
    <row r="94" spans="17:17" ht="20.100000000000001" customHeight="1">
      <c r="Q94" s="125"/>
    </row>
    <row r="95" spans="17:17" ht="20.100000000000001" customHeight="1">
      <c r="Q95" s="125"/>
    </row>
    <row r="96" spans="17:17" ht="20.100000000000001" customHeight="1">
      <c r="Q96" s="125"/>
    </row>
    <row r="97" spans="17:17" ht="20.100000000000001" customHeight="1">
      <c r="Q97" s="125"/>
    </row>
    <row r="98" spans="17:17" ht="20.100000000000001" customHeight="1">
      <c r="Q98" s="125"/>
    </row>
    <row r="99" spans="17:17" ht="20.100000000000001" customHeight="1">
      <c r="Q99" s="125"/>
    </row>
    <row r="100" spans="17:17" ht="20.100000000000001" customHeight="1">
      <c r="Q100" s="125"/>
    </row>
    <row r="101" spans="17:17" ht="20.100000000000001" customHeight="1">
      <c r="Q101" s="125"/>
    </row>
    <row r="102" spans="17:17" ht="20.100000000000001" customHeight="1">
      <c r="Q102" s="125"/>
    </row>
    <row r="103" spans="17:17" ht="20.100000000000001" customHeight="1">
      <c r="Q103" s="125"/>
    </row>
    <row r="104" spans="17:17" ht="20.100000000000001" customHeight="1">
      <c r="Q104" s="125"/>
    </row>
    <row r="105" spans="17:17" ht="20.100000000000001" customHeight="1">
      <c r="Q105" s="125"/>
    </row>
    <row r="106" spans="17:17" ht="20.100000000000001" customHeight="1">
      <c r="Q106" s="125"/>
    </row>
    <row r="107" spans="17:17" ht="20.100000000000001" customHeight="1">
      <c r="Q107" s="125"/>
    </row>
    <row r="108" spans="17:17" ht="20.100000000000001" customHeight="1">
      <c r="Q108" s="125"/>
    </row>
    <row r="109" spans="17:17" ht="20.100000000000001" customHeight="1">
      <c r="Q109" s="125"/>
    </row>
    <row r="110" spans="17:17" ht="20.100000000000001" customHeight="1">
      <c r="Q110" s="125"/>
    </row>
    <row r="111" spans="17:17" ht="20.100000000000001" customHeight="1">
      <c r="Q111" s="125"/>
    </row>
    <row r="112" spans="17:17" ht="20.100000000000001" customHeight="1">
      <c r="Q112" s="125"/>
    </row>
    <row r="113" spans="17:17" ht="20.100000000000001" customHeight="1">
      <c r="Q113" s="125"/>
    </row>
    <row r="114" spans="17:17" ht="20.100000000000001" customHeight="1">
      <c r="Q114" s="125"/>
    </row>
    <row r="115" spans="17:17" ht="20.100000000000001" customHeight="1">
      <c r="Q115" s="125"/>
    </row>
    <row r="116" spans="17:17" ht="20.100000000000001" customHeight="1">
      <c r="Q116" s="125"/>
    </row>
    <row r="117" spans="17:17" ht="20.100000000000001" customHeight="1">
      <c r="Q117" s="125"/>
    </row>
    <row r="118" spans="17:17" ht="20.100000000000001" customHeight="1">
      <c r="Q118" s="125"/>
    </row>
    <row r="119" spans="17:17" ht="20.100000000000001" customHeight="1">
      <c r="Q119" s="125"/>
    </row>
    <row r="120" spans="17:17" ht="20.100000000000001" customHeight="1">
      <c r="Q120" s="125"/>
    </row>
    <row r="121" spans="17:17" ht="20.100000000000001" customHeight="1">
      <c r="Q121" s="125"/>
    </row>
    <row r="122" spans="17:17" ht="20.100000000000001" customHeight="1">
      <c r="Q122" s="125"/>
    </row>
    <row r="123" spans="17:17" ht="20.100000000000001" customHeight="1">
      <c r="Q123" s="125"/>
    </row>
    <row r="124" spans="17:17" ht="20.100000000000001" customHeight="1">
      <c r="Q124" s="125"/>
    </row>
    <row r="125" spans="17:17" ht="20.100000000000001" customHeight="1">
      <c r="Q125" s="125"/>
    </row>
    <row r="126" spans="17:17" ht="20.100000000000001" customHeight="1">
      <c r="Q126" s="125"/>
    </row>
    <row r="127" spans="17:17" ht="20.100000000000001" customHeight="1">
      <c r="Q127" s="125"/>
    </row>
    <row r="128" spans="17:17" ht="20.100000000000001" customHeight="1">
      <c r="Q128" s="125"/>
    </row>
    <row r="129" spans="17:17" ht="20.100000000000001" customHeight="1">
      <c r="Q129" s="125"/>
    </row>
    <row r="130" spans="17:17" ht="20.100000000000001" customHeight="1">
      <c r="Q130" s="125"/>
    </row>
    <row r="131" spans="17:17" ht="20.100000000000001" customHeight="1">
      <c r="Q131" s="125"/>
    </row>
    <row r="132" spans="17:17" ht="20.100000000000001" customHeight="1">
      <c r="Q132" s="125"/>
    </row>
    <row r="133" spans="17:17" ht="20.100000000000001" customHeight="1">
      <c r="Q133" s="125"/>
    </row>
    <row r="134" spans="17:17" ht="20.100000000000001" customHeight="1">
      <c r="Q134" s="125"/>
    </row>
    <row r="135" spans="17:17" ht="20.100000000000001" customHeight="1">
      <c r="Q135" s="125"/>
    </row>
    <row r="136" spans="17:17" ht="20.100000000000001" customHeight="1">
      <c r="Q136" s="125"/>
    </row>
    <row r="137" spans="17:17" ht="20.100000000000001" customHeight="1">
      <c r="Q137" s="125"/>
    </row>
    <row r="138" spans="17:17" ht="20.100000000000001" customHeight="1">
      <c r="Q138" s="125"/>
    </row>
    <row r="139" spans="17:17" ht="20.100000000000001" customHeight="1">
      <c r="Q139" s="125"/>
    </row>
    <row r="140" spans="17:17" ht="20.100000000000001" customHeight="1">
      <c r="Q140" s="125"/>
    </row>
    <row r="141" spans="17:17" ht="20.100000000000001" customHeight="1">
      <c r="Q141" s="125"/>
    </row>
    <row r="142" spans="17:17" ht="20.100000000000001" customHeight="1">
      <c r="Q142" s="125"/>
    </row>
    <row r="143" spans="17:17" ht="20.100000000000001" customHeight="1">
      <c r="Q143" s="125"/>
    </row>
    <row r="144" spans="17:17" ht="20.100000000000001" customHeight="1">
      <c r="Q144" s="125"/>
    </row>
    <row r="145" spans="17:17" ht="20.100000000000001" customHeight="1">
      <c r="Q145" s="125"/>
    </row>
    <row r="146" spans="17:17" ht="20.100000000000001" customHeight="1">
      <c r="Q146" s="125"/>
    </row>
    <row r="147" spans="17:17" ht="20.100000000000001" customHeight="1">
      <c r="Q147" s="125"/>
    </row>
    <row r="148" spans="17:17" ht="20.100000000000001" customHeight="1">
      <c r="Q148" s="125"/>
    </row>
    <row r="149" spans="17:17" ht="20.100000000000001" customHeight="1">
      <c r="Q149" s="125"/>
    </row>
    <row r="150" spans="17:17" ht="20.100000000000001" customHeight="1">
      <c r="Q150" s="125"/>
    </row>
    <row r="151" spans="17:17" ht="20.100000000000001" customHeight="1">
      <c r="Q151" s="125"/>
    </row>
    <row r="152" spans="17:17" ht="20.100000000000001" customHeight="1">
      <c r="Q152" s="125"/>
    </row>
    <row r="153" spans="17:17" ht="20.100000000000001" customHeight="1">
      <c r="Q153" s="125"/>
    </row>
    <row r="154" spans="17:17" ht="20.100000000000001" customHeight="1">
      <c r="Q154" s="125"/>
    </row>
    <row r="155" spans="17:17" ht="20.100000000000001" customHeight="1">
      <c r="Q155" s="125"/>
    </row>
    <row r="156" spans="17:17" ht="20.100000000000001" customHeight="1">
      <c r="Q156" s="125"/>
    </row>
    <row r="157" spans="17:17" ht="20.100000000000001" customHeight="1">
      <c r="Q157" s="125"/>
    </row>
    <row r="158" spans="17:17" ht="20.100000000000001" customHeight="1">
      <c r="Q158" s="125"/>
    </row>
    <row r="159" spans="17:17" ht="20.100000000000001" customHeight="1">
      <c r="Q159" s="125"/>
    </row>
    <row r="160" spans="17:17" ht="20.100000000000001" customHeight="1">
      <c r="Q160" s="125"/>
    </row>
    <row r="161" spans="17:17" ht="20.100000000000001" customHeight="1">
      <c r="Q161" s="125"/>
    </row>
    <row r="162" spans="17:17" ht="20.100000000000001" customHeight="1">
      <c r="Q162" s="125"/>
    </row>
    <row r="163" spans="17:17" ht="20.100000000000001" customHeight="1">
      <c r="Q163" s="125"/>
    </row>
    <row r="164" spans="17:17" ht="20.100000000000001" customHeight="1">
      <c r="Q164" s="125"/>
    </row>
    <row r="165" spans="17:17" ht="20.100000000000001" customHeight="1">
      <c r="Q165" s="125"/>
    </row>
    <row r="166" spans="17:17" ht="20.100000000000001" customHeight="1">
      <c r="Q166" s="125"/>
    </row>
    <row r="167" spans="17:17" ht="20.100000000000001" customHeight="1">
      <c r="Q167" s="125"/>
    </row>
    <row r="168" spans="17:17" ht="20.100000000000001" customHeight="1">
      <c r="Q168" s="125"/>
    </row>
    <row r="169" spans="17:17" ht="20.100000000000001" customHeight="1">
      <c r="Q169" s="125"/>
    </row>
    <row r="170" spans="17:17" ht="20.100000000000001" customHeight="1">
      <c r="Q170" s="125"/>
    </row>
    <row r="171" spans="17:17" ht="20.100000000000001" customHeight="1">
      <c r="Q171" s="125"/>
    </row>
    <row r="172" spans="17:17" ht="20.100000000000001" customHeight="1">
      <c r="Q172" s="125"/>
    </row>
    <row r="173" spans="17:17" ht="20.100000000000001" customHeight="1">
      <c r="Q173" s="125"/>
    </row>
    <row r="174" spans="17:17" ht="20.100000000000001" customHeight="1">
      <c r="Q174" s="125"/>
    </row>
    <row r="175" spans="17:17" ht="20.100000000000001" customHeight="1">
      <c r="Q175" s="125"/>
    </row>
    <row r="176" spans="17:17" ht="20.100000000000001" customHeight="1">
      <c r="Q176" s="125"/>
    </row>
    <row r="177" spans="17:17" ht="20.100000000000001" customHeight="1">
      <c r="Q177" s="125"/>
    </row>
    <row r="178" spans="17:17" ht="20.100000000000001" customHeight="1">
      <c r="Q178" s="125"/>
    </row>
    <row r="179" spans="17:17" ht="20.100000000000001" customHeight="1">
      <c r="Q179" s="125"/>
    </row>
    <row r="180" spans="17:17" ht="20.100000000000001" customHeight="1">
      <c r="Q180" s="125"/>
    </row>
    <row r="181" spans="17:17" ht="20.100000000000001" customHeight="1">
      <c r="Q181" s="125"/>
    </row>
    <row r="182" spans="17:17" ht="20.100000000000001" customHeight="1">
      <c r="Q182" s="125"/>
    </row>
    <row r="183" spans="17:17" ht="20.100000000000001" customHeight="1">
      <c r="Q183" s="125"/>
    </row>
    <row r="184" spans="17:17" ht="20.100000000000001" customHeight="1">
      <c r="Q184" s="125"/>
    </row>
    <row r="185" spans="17:17" ht="20.100000000000001" customHeight="1">
      <c r="Q185" s="125"/>
    </row>
    <row r="186" spans="17:17" ht="20.100000000000001" customHeight="1">
      <c r="Q186" s="125"/>
    </row>
    <row r="187" spans="17:17" ht="20.100000000000001" customHeight="1">
      <c r="Q187" s="125"/>
    </row>
    <row r="188" spans="17:17" ht="20.100000000000001" customHeight="1">
      <c r="Q188" s="125"/>
    </row>
    <row r="189" spans="17:17" ht="20.100000000000001" customHeight="1">
      <c r="Q189" s="125"/>
    </row>
    <row r="190" spans="17:17" ht="20.100000000000001" customHeight="1">
      <c r="Q190" s="125"/>
    </row>
    <row r="191" spans="17:17" ht="20.100000000000001" customHeight="1">
      <c r="Q191" s="125"/>
    </row>
    <row r="192" spans="17:17" ht="20.100000000000001" customHeight="1">
      <c r="Q192" s="125"/>
    </row>
    <row r="193" spans="17:17" ht="20.100000000000001" customHeight="1">
      <c r="Q193" s="125"/>
    </row>
    <row r="194" spans="17:17" ht="20.100000000000001" customHeight="1">
      <c r="Q194" s="125"/>
    </row>
    <row r="195" spans="17:17" ht="20.100000000000001" customHeight="1">
      <c r="Q195" s="125"/>
    </row>
    <row r="196" spans="17:17" ht="20.100000000000001" customHeight="1">
      <c r="Q196" s="125"/>
    </row>
    <row r="197" spans="17:17" ht="20.100000000000001" customHeight="1">
      <c r="Q197" s="125"/>
    </row>
    <row r="198" spans="17:17" ht="20.100000000000001" customHeight="1">
      <c r="Q198" s="125"/>
    </row>
    <row r="199" spans="17:17" ht="20.100000000000001" customHeight="1">
      <c r="Q199" s="125"/>
    </row>
    <row r="200" spans="17:17" ht="20.100000000000001" customHeight="1">
      <c r="Q200" s="125"/>
    </row>
    <row r="201" spans="17:17" ht="20.100000000000001" customHeight="1">
      <c r="Q201" s="125"/>
    </row>
    <row r="202" spans="17:17" ht="20.100000000000001" customHeight="1">
      <c r="Q202" s="125"/>
    </row>
    <row r="203" spans="17:17" ht="20.100000000000001" customHeight="1">
      <c r="Q203" s="125"/>
    </row>
    <row r="204" spans="17:17" ht="20.100000000000001" customHeight="1">
      <c r="Q204" s="125"/>
    </row>
    <row r="205" spans="17:17" ht="20.100000000000001" customHeight="1">
      <c r="Q205" s="125"/>
    </row>
    <row r="206" spans="17:17" ht="20.100000000000001" customHeight="1">
      <c r="Q206" s="125"/>
    </row>
    <row r="207" spans="17:17" ht="20.100000000000001" customHeight="1">
      <c r="Q207" s="125"/>
    </row>
    <row r="208" spans="17:17" ht="20.100000000000001" customHeight="1">
      <c r="Q208" s="125"/>
    </row>
    <row r="209" spans="17:17" ht="20.100000000000001" customHeight="1">
      <c r="Q209" s="125"/>
    </row>
    <row r="210" spans="17:17" ht="20.100000000000001" customHeight="1">
      <c r="Q210" s="125"/>
    </row>
    <row r="211" spans="17:17" ht="20.100000000000001" customHeight="1">
      <c r="Q211" s="125"/>
    </row>
    <row r="212" spans="17:17" ht="20.100000000000001" customHeight="1">
      <c r="Q212" s="125"/>
    </row>
    <row r="213" spans="17:17" ht="20.100000000000001" customHeight="1">
      <c r="Q213" s="125"/>
    </row>
    <row r="214" spans="17:17" ht="20.100000000000001" customHeight="1">
      <c r="Q214" s="125"/>
    </row>
    <row r="215" spans="17:17" ht="20.100000000000001" customHeight="1">
      <c r="Q215" s="125"/>
    </row>
    <row r="216" spans="17:17" ht="20.100000000000001" customHeight="1">
      <c r="Q216" s="125"/>
    </row>
    <row r="217" spans="17:17" ht="20.100000000000001" customHeight="1">
      <c r="Q217" s="125"/>
    </row>
    <row r="218" spans="17:17" ht="20.100000000000001" customHeight="1">
      <c r="Q218" s="125"/>
    </row>
    <row r="219" spans="17:17" ht="20.100000000000001" customHeight="1">
      <c r="Q219" s="125"/>
    </row>
    <row r="220" spans="17:17" ht="20.100000000000001" customHeight="1">
      <c r="Q220" s="125"/>
    </row>
    <row r="221" spans="17:17" ht="20.100000000000001" customHeight="1">
      <c r="Q221" s="125"/>
    </row>
    <row r="222" spans="17:17" ht="20.100000000000001" customHeight="1">
      <c r="Q222" s="125"/>
    </row>
    <row r="223" spans="17:17" ht="20.100000000000001" customHeight="1">
      <c r="Q223" s="125"/>
    </row>
    <row r="224" spans="17:17" ht="20.100000000000001" customHeight="1">
      <c r="Q224" s="125"/>
    </row>
    <row r="225" spans="17:17" ht="20.100000000000001" customHeight="1">
      <c r="Q225" s="125"/>
    </row>
    <row r="226" spans="17:17" ht="20.100000000000001" customHeight="1">
      <c r="Q226" s="125"/>
    </row>
    <row r="227" spans="17:17" ht="20.100000000000001" customHeight="1">
      <c r="Q227" s="125"/>
    </row>
    <row r="228" spans="17:17" ht="20.100000000000001" customHeight="1">
      <c r="Q228" s="125"/>
    </row>
    <row r="229" spans="17:17" ht="20.100000000000001" customHeight="1">
      <c r="Q229" s="125"/>
    </row>
    <row r="230" spans="17:17" ht="20.100000000000001" customHeight="1">
      <c r="Q230" s="125"/>
    </row>
    <row r="231" spans="17:17" ht="20.100000000000001" customHeight="1">
      <c r="Q231" s="125"/>
    </row>
    <row r="232" spans="17:17" ht="20.100000000000001" customHeight="1">
      <c r="Q232" s="125"/>
    </row>
    <row r="233" spans="17:17" ht="20.100000000000001" customHeight="1">
      <c r="Q233" s="125"/>
    </row>
    <row r="234" spans="17:17" ht="20.100000000000001" customHeight="1">
      <c r="Q234" s="125"/>
    </row>
    <row r="235" spans="17:17" ht="20.100000000000001" customHeight="1">
      <c r="Q235" s="125"/>
    </row>
    <row r="236" spans="17:17" ht="20.100000000000001" customHeight="1">
      <c r="Q236" s="125"/>
    </row>
    <row r="237" spans="17:17" ht="20.100000000000001" customHeight="1">
      <c r="Q237" s="125"/>
    </row>
    <row r="238" spans="17:17" ht="20.100000000000001" customHeight="1">
      <c r="Q238" s="125"/>
    </row>
    <row r="239" spans="17:17" ht="20.100000000000001" customHeight="1">
      <c r="Q239" s="125"/>
    </row>
    <row r="240" spans="17:17" ht="20.100000000000001" customHeight="1">
      <c r="Q240" s="125"/>
    </row>
    <row r="241" spans="17:17" ht="20.100000000000001" customHeight="1">
      <c r="Q241" s="125"/>
    </row>
    <row r="242" spans="17:17" ht="20.100000000000001" customHeight="1">
      <c r="Q242" s="125"/>
    </row>
    <row r="243" spans="17:17" ht="20.100000000000001" customHeight="1">
      <c r="Q243" s="125"/>
    </row>
    <row r="244" spans="17:17" ht="20.100000000000001" customHeight="1">
      <c r="Q244" s="125"/>
    </row>
    <row r="245" spans="17:17" ht="20.100000000000001" customHeight="1">
      <c r="Q245" s="125"/>
    </row>
    <row r="246" spans="17:17" ht="20.100000000000001" customHeight="1">
      <c r="Q246" s="125"/>
    </row>
    <row r="247" spans="17:17" ht="20.100000000000001" customHeight="1">
      <c r="Q247" s="125"/>
    </row>
    <row r="248" spans="17:17" ht="20.100000000000001" customHeight="1">
      <c r="Q248" s="125"/>
    </row>
    <row r="249" spans="17:17" ht="20.100000000000001" customHeight="1">
      <c r="Q249" s="125"/>
    </row>
    <row r="250" spans="17:17" ht="20.100000000000001" customHeight="1">
      <c r="Q250" s="125"/>
    </row>
    <row r="251" spans="17:17" ht="20.100000000000001" customHeight="1">
      <c r="Q251" s="125"/>
    </row>
    <row r="252" spans="17:17" ht="20.100000000000001" customHeight="1">
      <c r="Q252" s="125"/>
    </row>
    <row r="253" spans="17:17" ht="20.100000000000001" customHeight="1">
      <c r="Q253" s="125"/>
    </row>
    <row r="254" spans="17:17" ht="20.100000000000001" customHeight="1">
      <c r="Q254" s="125"/>
    </row>
    <row r="255" spans="17:17" ht="20.100000000000001" customHeight="1">
      <c r="Q255" s="125"/>
    </row>
    <row r="256" spans="17:17" ht="20.100000000000001" customHeight="1">
      <c r="Q256" s="125"/>
    </row>
    <row r="257" spans="17:17" ht="20.100000000000001" customHeight="1">
      <c r="Q257" s="125"/>
    </row>
    <row r="258" spans="17:17" ht="20.100000000000001" customHeight="1">
      <c r="Q258" s="125"/>
    </row>
    <row r="259" spans="17:17" ht="20.100000000000001" customHeight="1">
      <c r="Q259" s="125"/>
    </row>
    <row r="260" spans="17:17" ht="20.100000000000001" customHeight="1">
      <c r="Q260" s="125"/>
    </row>
    <row r="261" spans="17:17" ht="20.100000000000001" customHeight="1">
      <c r="Q261" s="125"/>
    </row>
    <row r="262" spans="17:17" ht="20.100000000000001" customHeight="1">
      <c r="Q262" s="125"/>
    </row>
    <row r="263" spans="17:17" ht="20.100000000000001" customHeight="1">
      <c r="Q263" s="125"/>
    </row>
    <row r="264" spans="17:17" ht="20.100000000000001" customHeight="1">
      <c r="Q264" s="125"/>
    </row>
    <row r="265" spans="17:17" ht="20.100000000000001" customHeight="1">
      <c r="Q265" s="125"/>
    </row>
    <row r="266" spans="17:17" ht="20.100000000000001" customHeight="1">
      <c r="Q266" s="125"/>
    </row>
    <row r="267" spans="17:17" ht="20.100000000000001" customHeight="1">
      <c r="Q267" s="125"/>
    </row>
    <row r="268" spans="17:17" ht="20.100000000000001" customHeight="1">
      <c r="Q268" s="125"/>
    </row>
    <row r="269" spans="17:17" ht="20.100000000000001" customHeight="1">
      <c r="Q269" s="125"/>
    </row>
    <row r="270" spans="17:17" ht="20.100000000000001" customHeight="1">
      <c r="Q270" s="125"/>
    </row>
    <row r="271" spans="17:17" ht="20.100000000000001" customHeight="1">
      <c r="Q271" s="125"/>
    </row>
    <row r="272" spans="17:17" ht="20.100000000000001" customHeight="1">
      <c r="Q272" s="125"/>
    </row>
    <row r="273" spans="17:17" ht="20.100000000000001" customHeight="1">
      <c r="Q273" s="125"/>
    </row>
    <row r="274" spans="17:17" ht="20.100000000000001" customHeight="1">
      <c r="Q274" s="125"/>
    </row>
    <row r="275" spans="17:17" ht="20.100000000000001" customHeight="1">
      <c r="Q275" s="125"/>
    </row>
    <row r="276" spans="17:17" ht="20.100000000000001" customHeight="1">
      <c r="Q276" s="125"/>
    </row>
    <row r="277" spans="17:17" ht="20.100000000000001" customHeight="1">
      <c r="Q277" s="125"/>
    </row>
    <row r="278" spans="17:17" ht="20.100000000000001" customHeight="1">
      <c r="Q278" s="125"/>
    </row>
    <row r="279" spans="17:17" ht="20.100000000000001" customHeight="1">
      <c r="Q279" s="125"/>
    </row>
  </sheetData>
  <mergeCells count="20">
    <mergeCell ref="F8:G8"/>
    <mergeCell ref="H8:I8"/>
    <mergeCell ref="J8:J9"/>
    <mergeCell ref="K8:K9"/>
    <mergeCell ref="L8:L9"/>
    <mergeCell ref="B2:Q2"/>
    <mergeCell ref="B3:Q3"/>
    <mergeCell ref="B4:Q4"/>
    <mergeCell ref="B6:Q6"/>
    <mergeCell ref="B7:I7"/>
    <mergeCell ref="J7:L7"/>
    <mergeCell ref="M7:M9"/>
    <mergeCell ref="N7:N9"/>
    <mergeCell ref="O7:O9"/>
    <mergeCell ref="P7:P9"/>
    <mergeCell ref="Q7:Q9"/>
    <mergeCell ref="B8:B9"/>
    <mergeCell ref="C8:C9"/>
    <mergeCell ref="D8:D9"/>
    <mergeCell ref="E8:E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67</vt:i4>
      </vt:variant>
    </vt:vector>
  </HeadingPairs>
  <TitlesOfParts>
    <vt:vector size="88" baseType="lpstr">
      <vt:lpstr>RESUMO_INVENT</vt:lpstr>
      <vt:lpstr>CAD_SEG</vt:lpstr>
      <vt:lpstr>CAD_PISTA</vt:lpstr>
      <vt:lpstr>CAD_ACOST</vt:lpstr>
      <vt:lpstr>CAD_MFC</vt:lpstr>
      <vt:lpstr>CAD_SAR</vt:lpstr>
      <vt:lpstr>CAD_VAL</vt:lpstr>
      <vt:lpstr>CAD_DAR</vt:lpstr>
      <vt:lpstr>CAD_EDA</vt:lpstr>
      <vt:lpstr>CAD_OAC</vt:lpstr>
      <vt:lpstr>CAD_OAE</vt:lpstr>
      <vt:lpstr>CAD_CERCA</vt:lpstr>
      <vt:lpstr>CAD_ROCADA</vt:lpstr>
      <vt:lpstr>CAD_GRAMA</vt:lpstr>
      <vt:lpstr>CAD_DEFENSA</vt:lpstr>
      <vt:lpstr>CAD_SINV</vt:lpstr>
      <vt:lpstr>CAD_TACHA</vt:lpstr>
      <vt:lpstr>CAD_SINZ</vt:lpstr>
      <vt:lpstr>CAD_SINH</vt:lpstr>
      <vt:lpstr>CAD_FUNC</vt:lpstr>
      <vt:lpstr>CAD_DSM</vt:lpstr>
      <vt:lpstr>CAD_ACOST!Area_de_impressao</vt:lpstr>
      <vt:lpstr>CAD_CERCA!Area_de_impressao</vt:lpstr>
      <vt:lpstr>CAD_DAR!Area_de_impressao</vt:lpstr>
      <vt:lpstr>CAD_DEFENSA!Area_de_impressao</vt:lpstr>
      <vt:lpstr>CAD_DSM!Area_de_impressao</vt:lpstr>
      <vt:lpstr>CAD_EDA!Area_de_impressao</vt:lpstr>
      <vt:lpstr>CAD_GRAMA!Area_de_impressao</vt:lpstr>
      <vt:lpstr>CAD_MFC!Area_de_impressao</vt:lpstr>
      <vt:lpstr>CAD_OAC!Area_de_impressao</vt:lpstr>
      <vt:lpstr>CAD_OAE!Area_de_impressao</vt:lpstr>
      <vt:lpstr>CAD_PISTA!Area_de_impressao</vt:lpstr>
      <vt:lpstr>CAD_ROCADA!Area_de_impressao</vt:lpstr>
      <vt:lpstr>CAD_SAR!Area_de_impressao</vt:lpstr>
      <vt:lpstr>CAD_SEG!Area_de_impressao</vt:lpstr>
      <vt:lpstr>CAD_SINH!Area_de_impressao</vt:lpstr>
      <vt:lpstr>CAD_SINV!Area_de_impressao</vt:lpstr>
      <vt:lpstr>CAD_SINZ!Area_de_impressao</vt:lpstr>
      <vt:lpstr>CAD_TACHA!Area_de_impressao</vt:lpstr>
      <vt:lpstr>CAD_VAL!Area_de_impressao</vt:lpstr>
      <vt:lpstr>RESUMO_INVENT!Area_de_impressao</vt:lpstr>
      <vt:lpstr>CAD_ACOST!Print_Area</vt:lpstr>
      <vt:lpstr>CAD_CERCA!Print_Area</vt:lpstr>
      <vt:lpstr>CAD_DAR!Print_Area</vt:lpstr>
      <vt:lpstr>CAD_DEFENSA!Print_Area</vt:lpstr>
      <vt:lpstr>CAD_EDA!Print_Area</vt:lpstr>
      <vt:lpstr>CAD_GRAMA!Print_Area</vt:lpstr>
      <vt:lpstr>CAD_MFC!Print_Area</vt:lpstr>
      <vt:lpstr>CAD_OAC!Print_Area</vt:lpstr>
      <vt:lpstr>CAD_OAE!Print_Area</vt:lpstr>
      <vt:lpstr>CAD_PISTA!Print_Area</vt:lpstr>
      <vt:lpstr>CAD_ROCADA!Print_Area</vt:lpstr>
      <vt:lpstr>CAD_SAR!Print_Area</vt:lpstr>
      <vt:lpstr>CAD_SEG!Print_Area</vt:lpstr>
      <vt:lpstr>CAD_SINH!Print_Area</vt:lpstr>
      <vt:lpstr>CAD_SINV!Print_Area</vt:lpstr>
      <vt:lpstr>CAD_SINZ!Print_Area</vt:lpstr>
      <vt:lpstr>CAD_TACHA!Print_Area</vt:lpstr>
      <vt:lpstr>CAD_VAL!Print_Area</vt:lpstr>
      <vt:lpstr>RESUMO_INVENT!Print_Area</vt:lpstr>
      <vt:lpstr>CAD_CERCA!Print_Titles</vt:lpstr>
      <vt:lpstr>CAD_DAR!Print_Titles</vt:lpstr>
      <vt:lpstr>CAD_DEFENSA!Print_Titles</vt:lpstr>
      <vt:lpstr>CAD_EDA!Print_Titles</vt:lpstr>
      <vt:lpstr>CAD_GRAMA!Print_Titles</vt:lpstr>
      <vt:lpstr>CAD_MFC!Print_Titles</vt:lpstr>
      <vt:lpstr>CAD_OAC!Print_Titles</vt:lpstr>
      <vt:lpstr>CAD_OAE!Print_Titles</vt:lpstr>
      <vt:lpstr>CAD_ROCADA!Print_Titles</vt:lpstr>
      <vt:lpstr>CAD_SAR!Print_Titles</vt:lpstr>
      <vt:lpstr>CAD_SEG!Print_Titles</vt:lpstr>
      <vt:lpstr>CAD_SINH!Print_Titles</vt:lpstr>
      <vt:lpstr>CAD_SINV!Print_Titles</vt:lpstr>
      <vt:lpstr>CAD_SINZ!Print_Titles</vt:lpstr>
      <vt:lpstr>CAD_TACHA!Print_Titles</vt:lpstr>
      <vt:lpstr>CAD_CERCA!Titulos_de_impressao</vt:lpstr>
      <vt:lpstr>CAD_DAR!Titulos_de_impressao</vt:lpstr>
      <vt:lpstr>CAD_DEFENSA!Titulos_de_impressao</vt:lpstr>
      <vt:lpstr>CAD_EDA!Titulos_de_impressao</vt:lpstr>
      <vt:lpstr>CAD_GRAMA!Titulos_de_impressao</vt:lpstr>
      <vt:lpstr>CAD_MFC!Titulos_de_impressao</vt:lpstr>
      <vt:lpstr>CAD_OAC!Titulos_de_impressao</vt:lpstr>
      <vt:lpstr>CAD_ROCADA!Titulos_de_impressao</vt:lpstr>
      <vt:lpstr>CAD_SAR!Titulos_de_impressao</vt:lpstr>
      <vt:lpstr>CAD_SINH!Titulos_de_impressao</vt:lpstr>
      <vt:lpstr>CAD_SINV!Titulos_de_impressao</vt:lpstr>
      <vt:lpstr>CAD_SINZ!Titulos_de_impressao</vt:lpstr>
      <vt:lpstr>CAD_TACHA!Titulos_de_impressao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2026-04-02T15:27:20Z</dcterms:modified>
</cp:coreProperties>
</file>