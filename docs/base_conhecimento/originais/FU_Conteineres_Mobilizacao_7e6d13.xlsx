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ferencia_Conteineres" sheetId="1" state="visible" r:id="rId3"/>
    <sheet name="Calculo_FU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4" authorId="0">
      <text>
        <r>
          <rPr>
            <sz val="10"/>
            <rFont val="Arial"/>
            <family val="2"/>
          </rPr>
          <t xml:space="preserve">ESTIMATIVA (não é dado oficial DNIT/SICRO) — baseada em tara padrão de mercado/ISO para contêineres de 20 e 40 pés, com interpolação para os tamanhos 1/2 e 3/4 TEU (não-padronizados). Confirme com a ficha técnica do fabricante antes de usar em orçamento oficial.</t>
        </r>
      </text>
    </comment>
    <comment ref="G5" authorId="0">
      <text>
        <r>
          <rPr>
            <sz val="10"/>
            <rFont val="Arial"/>
            <family val="2"/>
          </rPr>
          <t xml:space="preserve">ESTIMATIVA (não é dado oficial DNIT/SICRO) — baseada em tara padrão de mercado/ISO para contêineres de 20 e 40 pés, com interpolação para os tamanhos 1/2 e 3/4 TEU (não-padronizados). Confirme com a ficha técnica do fabricante antes de usar em orçamento oficial.</t>
        </r>
      </text>
    </comment>
    <comment ref="G6" authorId="0">
      <text>
        <r>
          <rPr>
            <sz val="10"/>
            <rFont val="Arial"/>
            <family val="2"/>
          </rPr>
          <t xml:space="preserve">ESTIMATIVA (não é dado oficial DNIT/SICRO) — baseada em tara padrão de mercado/ISO para contêineres de 20 e 40 pés, com interpolação para os tamanhos 1/2 e 3/4 TEU (não-padronizados). Confirme com a ficha técnica do fabricante antes de usar em orçamento oficial.</t>
        </r>
      </text>
    </comment>
    <comment ref="G7" authorId="0">
      <text>
        <r>
          <rPr>
            <sz val="10"/>
            <rFont val="Arial"/>
            <family val="2"/>
          </rPr>
          <t xml:space="preserve">ESTIMATIVA (não é dado oficial DNIT/SICRO) — baseada em tara padrão de mercado/ISO para contêineres de 20 e 40 pés, com interpolação para os tamanhos 1/2 e 3/4 TEU (não-padronizados). Confirme com a ficha técnica do fabricante antes de usar em orçamento oficial.</t>
        </r>
      </text>
    </comment>
    <comment ref="G8" authorId="0">
      <text>
        <r>
          <rPr>
            <sz val="10"/>
            <rFont val="Arial"/>
            <family val="2"/>
          </rPr>
          <t xml:space="preserve">ESTIMATIVA (não é dado oficial DNIT/SICRO) — baseada em tara padrão de mercado/ISO para contêineres de 20 e 40 pés, com interpolação para os tamanhos 1/2 e 3/4 TEU (não-padronizados). Confirme com a ficha técnica do fabricante antes de usar em orçamento oficial.</t>
        </r>
      </text>
    </comment>
    <comment ref="G9" authorId="0">
      <text>
        <r>
          <rPr>
            <sz val="10"/>
            <rFont val="Arial"/>
            <family val="2"/>
          </rPr>
          <t xml:space="preserve">ESTIMATIVA (não é dado oficial DNIT/SICRO) — baseada em tara padrão de mercado/ISO para contêineres de 20 e 40 pés, com interpolação para os tamanhos 1/2 e 3/4 TEU (não-padronizados). Confirme com a ficha técnica do fabricante antes de usar em orçamento oficial.</t>
        </r>
      </text>
    </comment>
    <comment ref="G10" authorId="0">
      <text>
        <r>
          <rPr>
            <sz val="10"/>
            <rFont val="Arial"/>
            <family val="2"/>
          </rPr>
          <t xml:space="preserve">ESTIMATIVA (não é dado oficial DNIT/SICRO) — baseada em tara padrão de mercado/ISO para contêineres de 20 e 40 pés, com interpolação para os tamanhos 1/2 e 3/4 TEU (não-padronizados). Confirme com a ficha técnica do fabricante antes de usar em orçamento oficial.</t>
        </r>
      </text>
    </comment>
    <comment ref="G11" authorId="0">
      <text>
        <r>
          <rPr>
            <sz val="10"/>
            <rFont val="Arial"/>
            <family val="2"/>
          </rPr>
          <t xml:space="preserve">ESTIMATIVA (não é dado oficial DNIT/SICRO) — baseada em tara padrão de mercado/ISO para contêineres de 20 e 40 pés, com interpolação para os tamanhos 1/2 e 3/4 TEU (não-padronizados). Confirme com a ficha técnica do fabricante antes de usar em orçamento oficial.</t>
        </r>
      </text>
    </comment>
    <comment ref="G12" authorId="0">
      <text>
        <r>
          <rPr>
            <sz val="10"/>
            <rFont val="Arial"/>
            <family val="2"/>
          </rPr>
          <t xml:space="preserve">ESTIMATIVA (não é dado oficial DNIT/SICRO) — baseada em tara padrão de mercado/ISO para contêineres de 20 e 40 pés, com interpolação para os tamanhos 1/2 e 3/4 TEU (não-padronizados). Confirme com a ficha técnica do fabricante antes de usar em orçamento oficial.</t>
        </r>
      </text>
    </comment>
    <comment ref="G13" authorId="0">
      <text>
        <r>
          <rPr>
            <sz val="10"/>
            <rFont val="Arial"/>
            <family val="2"/>
          </rPr>
          <t xml:space="preserve">ESTIMATIVA (não é dado oficial DNIT/SICRO) — baseada em tara padrão de mercado/ISO para contêineres de 20 e 40 pés, com interpolação para os tamanhos 1/2 e 3/4 TEU (não-padronizados). Confirme com a ficha técnica do fabricante antes de usar em orçamento oficial.</t>
        </r>
      </text>
    </comment>
    <comment ref="G14" authorId="0">
      <text>
        <r>
          <rPr>
            <sz val="10"/>
            <rFont val="Arial"/>
            <family val="2"/>
          </rPr>
          <t xml:space="preserve">ESTIMATIVA (não é dado oficial DNIT/SICRO) — baseada em tara padrão de mercado/ISO para contêineres de 20 e 40 pés, com interpolação para os tamanhos 1/2 e 3/4 TEU (não-padronizados). Confirme com a ficha técnica do fabricante antes de usar em orçamento oficial.</t>
        </r>
      </text>
    </comment>
    <comment ref="G15" authorId="0">
      <text>
        <r>
          <rPr>
            <sz val="10"/>
            <rFont val="Arial"/>
            <family val="2"/>
          </rPr>
          <t xml:space="preserve">ESTIMATIVA (não é dado oficial DNIT/SICRO) — baseada em tara padrão de mercado/ISO para contêineres de 20 e 40 pés, com interpolação para os tamanhos 1/2 e 3/4 TEU (não-padronizados). Confirme com a ficha técnica do fabricante antes de usar em orçamento oficial.</t>
        </r>
      </text>
    </comment>
    <comment ref="G16" authorId="0">
      <text>
        <r>
          <rPr>
            <sz val="10"/>
            <rFont val="Arial"/>
            <family val="2"/>
          </rPr>
          <t xml:space="preserve">ESTIMATIVA (não é dado oficial DNIT/SICRO) — baseada em tara padrão de mercado/ISO para contêineres de 20 e 40 pés, com interpolação para os tamanhos 1/2 e 3/4 TEU (não-padronizados). Confirme com a ficha técnica do fabricante antes de usar em orçamento oficial.</t>
        </r>
      </text>
    </comment>
    <comment ref="G17" authorId="0">
      <text>
        <r>
          <rPr>
            <sz val="10"/>
            <rFont val="Arial"/>
            <family val="2"/>
          </rPr>
          <t xml:space="preserve">ESTIMATIVA (não é dado oficial DNIT/SICRO) — baseada em tara padrão de mercado/ISO para contêineres de 20 e 40 pés, com interpolação para os tamanhos 1/2 e 3/4 TEU (não-padronizados). Confirme com a ficha técnica do fabricante antes de usar em orçamento oficial.</t>
        </r>
      </text>
    </comment>
    <comment ref="G18" authorId="0">
      <text>
        <r>
          <rPr>
            <sz val="10"/>
            <rFont val="Arial"/>
            <family val="2"/>
          </rPr>
          <t xml:space="preserve">ESTIMATIVA (não é dado oficial DNIT/SICRO) — baseada em tara padrão de mercado/ISO para contêineres de 20 e 40 pés, com interpolação para os tamanhos 1/2 e 3/4 TEU (não-padronizados). Confirme com a ficha técnica do fabricante antes de usar em orçamento oficial.</t>
        </r>
      </text>
    </comment>
    <comment ref="G19" authorId="0">
      <text>
        <r>
          <rPr>
            <sz val="10"/>
            <rFont val="Arial"/>
            <family val="2"/>
          </rPr>
          <t xml:space="preserve">ESTIMATIVA (não é dado oficial DNIT/SICRO) — baseada em tara padrão de mercado/ISO para contêineres de 20 e 40 pés, com interpolação para os tamanhos 1/2 e 3/4 TEU (não-padronizados). Confirme com a ficha técnica do fabricante antes de usar em orçamento oficial.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Linha de EXEMPLO com valores ilustrativos (código real do relatório, massa/veículo fictícios). Substitua pelos seus dados.</t>
        </r>
      </text>
    </comment>
  </commentList>
</comments>
</file>

<file path=xl/sharedStrings.xml><?xml version="1.0" encoding="utf-8"?>
<sst xmlns="http://schemas.openxmlformats.org/spreadsheetml/2006/main" count="97" uniqueCount="65">
  <si>
    <t xml:space="preserve">Contêineres e Estruturas Modulares SICRO — dimensões e preços (RO 07/2025 - Relatório Sintético de Materiais)</t>
  </si>
  <si>
    <t xml:space="preserve">Código</t>
  </si>
  <si>
    <t xml:space="preserve">Descrição</t>
  </si>
  <si>
    <t xml:space="preserve">Tipo (TEU)</t>
  </si>
  <si>
    <t xml:space="preserve">Largura
L (m)</t>
  </si>
  <si>
    <t xml:space="preserve">Comprimento
C (m)</t>
  </si>
  <si>
    <t xml:space="preserve">Área AE
(m²) = L×C</t>
  </si>
  <si>
    <t xml:space="preserve">Massa/tara
ME (kg)</t>
  </si>
  <si>
    <t xml:space="preserve">Preço unitário
de referência (R$)</t>
  </si>
  <si>
    <t xml:space="preserve">Fonte</t>
  </si>
  <si>
    <t xml:space="preserve">M0041</t>
  </si>
  <si>
    <t xml:space="preserve">Contêiner com 2 banheiros</t>
  </si>
  <si>
    <t xml:space="preserve">1 TEU</t>
  </si>
  <si>
    <t xml:space="preserve">RO 07/2025 - Relatório Sintético de Materiais (DNIT/SICRO)</t>
  </si>
  <si>
    <t xml:space="preserve">M0042</t>
  </si>
  <si>
    <t xml:space="preserve">Contêiner com janela</t>
  </si>
  <si>
    <t xml:space="preserve">M0059</t>
  </si>
  <si>
    <t xml:space="preserve">Contêiner com revestimento térmico, janela e banheiro</t>
  </si>
  <si>
    <t xml:space="preserve">M0057</t>
  </si>
  <si>
    <t xml:space="preserve">1 TEU duplo</t>
  </si>
  <si>
    <t xml:space="preserve">M0058</t>
  </si>
  <si>
    <t xml:space="preserve">Contêiner com janela e 2 banheiros</t>
  </si>
  <si>
    <t xml:space="preserve">M0066</t>
  </si>
  <si>
    <t xml:space="preserve">2 TEU</t>
  </si>
  <si>
    <t xml:space="preserve">M0060</t>
  </si>
  <si>
    <t xml:space="preserve">3/4 TEU</t>
  </si>
  <si>
    <t xml:space="preserve">M0065</t>
  </si>
  <si>
    <t xml:space="preserve">Contêiner com janela e banheiro</t>
  </si>
  <si>
    <t xml:space="preserve">M0071</t>
  </si>
  <si>
    <t xml:space="preserve">Contêiner com 3 janelas para guarita</t>
  </si>
  <si>
    <t xml:space="preserve">1/2 TEU</t>
  </si>
  <si>
    <t xml:space="preserve">M0291</t>
  </si>
  <si>
    <t xml:space="preserve">Estrutura modular com 2 banheiros</t>
  </si>
  <si>
    <t xml:space="preserve">M0292</t>
  </si>
  <si>
    <t xml:space="preserve">Estrutura modular com janela</t>
  </si>
  <si>
    <t xml:space="preserve">M0295</t>
  </si>
  <si>
    <t xml:space="preserve">Estrutura modular com revestimento térmico, janela e banheiro</t>
  </si>
  <si>
    <t xml:space="preserve">M0293</t>
  </si>
  <si>
    <t xml:space="preserve">M0294</t>
  </si>
  <si>
    <t xml:space="preserve">Estrutura modular com janela e 2 banheiros</t>
  </si>
  <si>
    <t xml:space="preserve">M0296</t>
  </si>
  <si>
    <t xml:space="preserve">M0297</t>
  </si>
  <si>
    <t xml:space="preserve">Estrutura modular com 3 janelas para guarita</t>
  </si>
  <si>
    <t xml:space="preserve">⚠ A coluna "Massa/tara (kg)" foi PRÉ-PREENCHIDA com ESTIMATIVAS de mercado/ISO para contêineres 20 e 40 pés (interpolação para 1/2 e 3/4 TEU, tamanhos não-padronizados). NÃO é dado oficial do Manual DNIT nem do Relatório Sintético de Materiais — nenhum dos dois traz peso de contêiner. Passe o mouse na célula para ver a fonte, e substitua pelo dado real do fabricante sempre que possível.</t>
  </si>
  <si>
    <t xml:space="preserve">Área AE = Largura × Comprimento (dimensões exatas do RO 07/2025 - Relatório Sintético de Materiais, Rondônia, julho/2025).</t>
  </si>
  <si>
    <t xml:space="preserve">"Estrutura modular" é um item alternativo ao "Contêiner" no mesmo relatório, com dimensões e preços próprios (levemente diferentes no comprimento).</t>
  </si>
  <si>
    <t xml:space="preserve">Cálculo do Fator de Utilização (FU) — Mobilização de Contêineres (Manual DNIT, Volume 08, Equações 2, 3 e 4)</t>
  </si>
  <si>
    <t xml:space="preserve">Legenda: células AMARELAS = preencher com seus dados. Células brancas = calculadas automaticamente (fórmulas).</t>
  </si>
  <si>
    <t xml:space="preserve">Código
(selecione)</t>
  </si>
  <si>
    <t xml:space="preserve">Descrição
(automático)</t>
  </si>
  <si>
    <t xml:space="preserve">Área do
contêiner
AE (m²)</t>
  </si>
  <si>
    <t xml:space="preserve">Massa do
contêiner
ME (kg)</t>
  </si>
  <si>
    <t xml:space="preserve">Área útil do
transportador
AET (m²)</t>
  </si>
  <si>
    <t xml:space="preserve">Carga útil do
transportador
CET (kg)</t>
  </si>
  <si>
    <t xml:space="preserve">FUA
(AE/AET)</t>
  </si>
  <si>
    <t xml:space="preserve">FUC
(ME/CET)</t>
  </si>
  <si>
    <t xml:space="preserve">FU
(=MAX(FUA;FUC))</t>
  </si>
  <si>
    <t xml:space="preserve">Fórmulas (Manual de Custos DNIT — Volume 08, seção 3.4.3):</t>
  </si>
  <si>
    <t xml:space="preserve">  FUA = AE / AET   (Equação 2 — área do contêiner ÷ área útil do transportador)</t>
  </si>
  <si>
    <t xml:space="preserve">  FUC = ME / CET   (Equação 3 — massa do contêiner ÷ carga útil do transportador)</t>
  </si>
  <si>
    <t xml:space="preserve">  FU  = MAIOR valor entre FUA e FUC   (Equação 4)</t>
  </si>
  <si>
    <t xml:space="preserve">Área (AE) vem automaticamente da aba Referencia_Conteineres (dimensões exatas do RO 07/2025 - Relatório Sintético de Materiais).</t>
  </si>
  <si>
    <t xml:space="preserve">Preencha "Massa do contêiner (ME)" com o dado do fabricante — não consta em nenhum documento do Manual DNIT ou do Relatório Sintético.</t>
  </si>
  <si>
    <t xml:space="preserve">Preencha "Área útil (AET)" e "Carga útil (CET)" do veículo transportador escolhido (ex.: carreta prancha, munck etc.).</t>
  </si>
  <si>
    <t xml:space="preserve">Se o contêiner exceder a capacidade dimensional do transportador, o FU pode ser maior que 1 (indicando necessidade de fragmentação/outro veículo).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</si>
</sst>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#,##0.00"/>
    <numFmt numFmtId="167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2"/>
    <col collapsed="false" customWidth="true" hidden="false" outlineLevel="0" max="3" min="3" style="1" width="12"/>
    <col collapsed="false" customWidth="true" hidden="false" outlineLevel="0" max="4" min="4" style="1" width="9"/>
    <col collapsed="false" customWidth="true" hidden="false" outlineLevel="0" max="5" min="5" style="1" width="12"/>
    <col collapsed="false" customWidth="true" hidden="false" outlineLevel="0" max="7" min="6" style="1" width="11"/>
    <col collapsed="false" customWidth="true" hidden="false" outlineLevel="0" max="8" min="8" style="1" width="16"/>
    <col collapsed="false" customWidth="true" hidden="false" outlineLevel="0" max="9" min="9" style="1" width="34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3" customFormat="false" ht="39.7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customFormat="false" ht="21.75" hidden="false" customHeight="true" outlineLevel="0" collapsed="false">
      <c r="A4" s="4" t="s">
        <v>10</v>
      </c>
      <c r="B4" s="5" t="s">
        <v>11</v>
      </c>
      <c r="C4" s="4" t="s">
        <v>12</v>
      </c>
      <c r="D4" s="4" t="n">
        <v>2.44</v>
      </c>
      <c r="E4" s="4" t="n">
        <v>6.09</v>
      </c>
      <c r="F4" s="6" t="n">
        <f aca="false">D4*E4</f>
        <v>14.8596</v>
      </c>
      <c r="G4" s="7" t="n">
        <v>2250</v>
      </c>
      <c r="H4" s="8" t="n">
        <v>104554.2428</v>
      </c>
      <c r="I4" s="9" t="s">
        <v>13</v>
      </c>
    </row>
    <row r="5" customFormat="false" ht="21.75" hidden="false" customHeight="true" outlineLevel="0" collapsed="false">
      <c r="A5" s="10" t="s">
        <v>14</v>
      </c>
      <c r="B5" s="11" t="s">
        <v>15</v>
      </c>
      <c r="C5" s="10" t="s">
        <v>12</v>
      </c>
      <c r="D5" s="10" t="n">
        <v>2.44</v>
      </c>
      <c r="E5" s="10" t="n">
        <v>6.09</v>
      </c>
      <c r="F5" s="12" t="n">
        <f aca="false">D5*E5</f>
        <v>14.8596</v>
      </c>
      <c r="G5" s="7" t="n">
        <v>2250</v>
      </c>
      <c r="H5" s="13" t="n">
        <v>46176.5515</v>
      </c>
      <c r="I5" s="14" t="s">
        <v>13</v>
      </c>
    </row>
    <row r="6" customFormat="false" ht="23.25" hidden="false" customHeight="true" outlineLevel="0" collapsed="false">
      <c r="A6" s="4" t="s">
        <v>16</v>
      </c>
      <c r="B6" s="5" t="s">
        <v>17</v>
      </c>
      <c r="C6" s="4" t="s">
        <v>12</v>
      </c>
      <c r="D6" s="4" t="n">
        <v>2.44</v>
      </c>
      <c r="E6" s="4" t="n">
        <v>6.09</v>
      </c>
      <c r="F6" s="6" t="n">
        <f aca="false">D6*E6</f>
        <v>14.8596</v>
      </c>
      <c r="G6" s="7" t="n">
        <v>2250</v>
      </c>
      <c r="H6" s="8" t="n">
        <v>66136.2515</v>
      </c>
      <c r="I6" s="9" t="s">
        <v>13</v>
      </c>
    </row>
    <row r="7" customFormat="false" ht="21.75" hidden="false" customHeight="true" outlineLevel="0" collapsed="false">
      <c r="A7" s="10" t="s">
        <v>18</v>
      </c>
      <c r="B7" s="11" t="s">
        <v>15</v>
      </c>
      <c r="C7" s="10" t="s">
        <v>19</v>
      </c>
      <c r="D7" s="10" t="n">
        <v>4.88</v>
      </c>
      <c r="E7" s="10" t="n">
        <v>6.09</v>
      </c>
      <c r="F7" s="12" t="n">
        <f aca="false">D7*E7</f>
        <v>29.7192</v>
      </c>
      <c r="G7" s="7" t="n">
        <v>4500</v>
      </c>
      <c r="H7" s="13" t="n">
        <v>152940.4856</v>
      </c>
      <c r="I7" s="14" t="s">
        <v>13</v>
      </c>
    </row>
    <row r="8" customFormat="false" ht="21.75" hidden="false" customHeight="true" outlineLevel="0" collapsed="false">
      <c r="A8" s="4" t="s">
        <v>20</v>
      </c>
      <c r="B8" s="5" t="s">
        <v>21</v>
      </c>
      <c r="C8" s="4" t="s">
        <v>19</v>
      </c>
      <c r="D8" s="4" t="n">
        <v>4.88</v>
      </c>
      <c r="E8" s="4" t="n">
        <v>6.09</v>
      </c>
      <c r="F8" s="6" t="n">
        <f aca="false">D8*E8</f>
        <v>29.7192</v>
      </c>
      <c r="G8" s="7" t="n">
        <v>4500</v>
      </c>
      <c r="H8" s="8" t="n">
        <v>157955.4856</v>
      </c>
      <c r="I8" s="9" t="s">
        <v>13</v>
      </c>
    </row>
    <row r="9" customFormat="false" ht="23.25" hidden="false" customHeight="true" outlineLevel="0" collapsed="false">
      <c r="A9" s="10" t="s">
        <v>22</v>
      </c>
      <c r="B9" s="11" t="s">
        <v>17</v>
      </c>
      <c r="C9" s="10" t="s">
        <v>23</v>
      </c>
      <c r="D9" s="10" t="n">
        <v>2.44</v>
      </c>
      <c r="E9" s="10" t="n">
        <v>12.9</v>
      </c>
      <c r="F9" s="12" t="n">
        <f aca="false">D9*E9</f>
        <v>31.476</v>
      </c>
      <c r="G9" s="7" t="n">
        <v>3850</v>
      </c>
      <c r="H9" s="13" t="n">
        <v>144414.9856</v>
      </c>
      <c r="I9" s="14" t="s">
        <v>13</v>
      </c>
    </row>
    <row r="10" customFormat="false" ht="21.75" hidden="false" customHeight="true" outlineLevel="0" collapsed="false">
      <c r="A10" s="4" t="s">
        <v>24</v>
      </c>
      <c r="B10" s="5" t="s">
        <v>15</v>
      </c>
      <c r="C10" s="4" t="s">
        <v>25</v>
      </c>
      <c r="D10" s="4" t="n">
        <v>2.44</v>
      </c>
      <c r="E10" s="4" t="n">
        <v>4.58</v>
      </c>
      <c r="F10" s="6" t="n">
        <f aca="false">D10*E10</f>
        <v>11.1752</v>
      </c>
      <c r="G10" s="7" t="n">
        <v>1775</v>
      </c>
      <c r="H10" s="8" t="n">
        <v>65938.7428</v>
      </c>
      <c r="I10" s="9" t="s">
        <v>13</v>
      </c>
    </row>
    <row r="11" customFormat="false" ht="21.75" hidden="false" customHeight="true" outlineLevel="0" collapsed="false">
      <c r="A11" s="10" t="s">
        <v>26</v>
      </c>
      <c r="B11" s="11" t="s">
        <v>27</v>
      </c>
      <c r="C11" s="10" t="s">
        <v>25</v>
      </c>
      <c r="D11" s="10" t="n">
        <v>2.44</v>
      </c>
      <c r="E11" s="10" t="n">
        <v>4.58</v>
      </c>
      <c r="F11" s="12" t="n">
        <f aca="false">D11*E11</f>
        <v>11.1752</v>
      </c>
      <c r="G11" s="7" t="n">
        <v>1775</v>
      </c>
      <c r="H11" s="13" t="n">
        <v>83992.7428</v>
      </c>
      <c r="I11" s="14" t="s">
        <v>13</v>
      </c>
    </row>
    <row r="12" customFormat="false" ht="21.75" hidden="false" customHeight="true" outlineLevel="0" collapsed="false">
      <c r="A12" s="4" t="s">
        <v>28</v>
      </c>
      <c r="B12" s="5" t="s">
        <v>29</v>
      </c>
      <c r="C12" s="4" t="s">
        <v>30</v>
      </c>
      <c r="D12" s="4" t="n">
        <v>2.44</v>
      </c>
      <c r="E12" s="4" t="n">
        <v>3.05</v>
      </c>
      <c r="F12" s="6" t="n">
        <f aca="false">D12*E12</f>
        <v>7.442</v>
      </c>
      <c r="G12" s="7" t="n">
        <v>1300</v>
      </c>
      <c r="H12" s="8" t="n">
        <v>52318.0772</v>
      </c>
      <c r="I12" s="9" t="s">
        <v>13</v>
      </c>
    </row>
    <row r="13" customFormat="false" ht="21.75" hidden="false" customHeight="true" outlineLevel="0" collapsed="false">
      <c r="A13" s="10" t="s">
        <v>31</v>
      </c>
      <c r="B13" s="11" t="s">
        <v>32</v>
      </c>
      <c r="C13" s="10" t="s">
        <v>12</v>
      </c>
      <c r="D13" s="10" t="n">
        <v>2.44</v>
      </c>
      <c r="E13" s="10" t="n">
        <v>6.06</v>
      </c>
      <c r="F13" s="12" t="n">
        <f aca="false">D13*E13</f>
        <v>14.7864</v>
      </c>
      <c r="G13" s="7" t="n">
        <v>2250</v>
      </c>
      <c r="H13" s="13" t="n">
        <v>88426.1015</v>
      </c>
      <c r="I13" s="14" t="s">
        <v>13</v>
      </c>
    </row>
    <row r="14" customFormat="false" ht="21.75" hidden="false" customHeight="true" outlineLevel="0" collapsed="false">
      <c r="A14" s="4" t="s">
        <v>33</v>
      </c>
      <c r="B14" s="5" t="s">
        <v>34</v>
      </c>
      <c r="C14" s="4" t="s">
        <v>12</v>
      </c>
      <c r="D14" s="4" t="n">
        <v>2.44</v>
      </c>
      <c r="E14" s="4" t="n">
        <v>6.06</v>
      </c>
      <c r="F14" s="6" t="n">
        <f aca="false">D14*E14</f>
        <v>14.7864</v>
      </c>
      <c r="G14" s="7" t="n">
        <v>2250</v>
      </c>
      <c r="H14" s="8" t="n">
        <v>73409.2208</v>
      </c>
      <c r="I14" s="9" t="s">
        <v>13</v>
      </c>
    </row>
    <row r="15" customFormat="false" ht="23.25" hidden="false" customHeight="true" outlineLevel="0" collapsed="false">
      <c r="A15" s="10" t="s">
        <v>35</v>
      </c>
      <c r="B15" s="11" t="s">
        <v>36</v>
      </c>
      <c r="C15" s="10" t="s">
        <v>12</v>
      </c>
      <c r="D15" s="10" t="n">
        <v>2.44</v>
      </c>
      <c r="E15" s="10" t="n">
        <v>6.06</v>
      </c>
      <c r="F15" s="12" t="n">
        <f aca="false">D15*E15</f>
        <v>14.7864</v>
      </c>
      <c r="G15" s="7" t="n">
        <v>2250</v>
      </c>
      <c r="H15" s="13" t="n">
        <v>81618.7758</v>
      </c>
      <c r="I15" s="14" t="s">
        <v>13</v>
      </c>
    </row>
    <row r="16" customFormat="false" ht="21.75" hidden="false" customHeight="true" outlineLevel="0" collapsed="false">
      <c r="A16" s="4" t="s">
        <v>37</v>
      </c>
      <c r="B16" s="5" t="s">
        <v>34</v>
      </c>
      <c r="C16" s="4" t="s">
        <v>19</v>
      </c>
      <c r="D16" s="4" t="n">
        <v>4.88</v>
      </c>
      <c r="E16" s="4" t="n">
        <v>6.06</v>
      </c>
      <c r="F16" s="6" t="n">
        <f aca="false">D16*E16</f>
        <v>29.5728</v>
      </c>
      <c r="G16" s="7" t="n">
        <v>4500</v>
      </c>
      <c r="H16" s="8" t="n">
        <v>148591.1751</v>
      </c>
      <c r="I16" s="9" t="s">
        <v>13</v>
      </c>
    </row>
    <row r="17" customFormat="false" ht="21.75" hidden="false" customHeight="true" outlineLevel="0" collapsed="false">
      <c r="A17" s="10" t="s">
        <v>38</v>
      </c>
      <c r="B17" s="11" t="s">
        <v>39</v>
      </c>
      <c r="C17" s="10" t="s">
        <v>19</v>
      </c>
      <c r="D17" s="10" t="n">
        <v>4.88</v>
      </c>
      <c r="E17" s="10" t="n">
        <v>6.06</v>
      </c>
      <c r="F17" s="12" t="n">
        <f aca="false">D17*E17</f>
        <v>29.5728</v>
      </c>
      <c r="G17" s="7" t="n">
        <v>4500</v>
      </c>
      <c r="H17" s="13" t="n">
        <v>149140.2081</v>
      </c>
      <c r="I17" s="14" t="s">
        <v>13</v>
      </c>
    </row>
    <row r="18" customFormat="false" ht="23.25" hidden="false" customHeight="true" outlineLevel="0" collapsed="false">
      <c r="A18" s="4" t="s">
        <v>40</v>
      </c>
      <c r="B18" s="5" t="s">
        <v>36</v>
      </c>
      <c r="C18" s="4" t="s">
        <v>23</v>
      </c>
      <c r="D18" s="4" t="n">
        <v>2.44</v>
      </c>
      <c r="E18" s="4" t="n">
        <v>12.19</v>
      </c>
      <c r="F18" s="6" t="n">
        <f aca="false">D18*E18</f>
        <v>29.7436</v>
      </c>
      <c r="G18" s="7" t="n">
        <v>3850</v>
      </c>
      <c r="H18" s="8" t="n">
        <v>156330.8936</v>
      </c>
      <c r="I18" s="9" t="s">
        <v>13</v>
      </c>
    </row>
    <row r="19" customFormat="false" ht="21.75" hidden="false" customHeight="true" outlineLevel="0" collapsed="false">
      <c r="A19" s="10" t="s">
        <v>41</v>
      </c>
      <c r="B19" s="11" t="s">
        <v>42</v>
      </c>
      <c r="C19" s="10" t="s">
        <v>30</v>
      </c>
      <c r="D19" s="10" t="n">
        <v>2.44</v>
      </c>
      <c r="E19" s="10" t="n">
        <v>3.05</v>
      </c>
      <c r="F19" s="12" t="n">
        <f aca="false">D19*E19</f>
        <v>7.442</v>
      </c>
      <c r="G19" s="7" t="n">
        <v>1300</v>
      </c>
      <c r="H19" s="13" t="n">
        <v>44763.7154</v>
      </c>
      <c r="I19" s="14" t="s">
        <v>13</v>
      </c>
    </row>
    <row r="21" customFormat="false" ht="15" hidden="false" customHeight="true" outlineLevel="0" collapsed="false">
      <c r="A21" s="15" t="s">
        <v>43</v>
      </c>
      <c r="B21" s="15"/>
      <c r="C21" s="15"/>
      <c r="D21" s="15"/>
      <c r="E21" s="15"/>
      <c r="F21" s="15"/>
      <c r="G21" s="15"/>
      <c r="H21" s="15"/>
      <c r="I21" s="15"/>
    </row>
    <row r="22" customFormat="false" ht="15" hidden="false" customHeight="true" outlineLevel="0" collapsed="false">
      <c r="A22" s="15" t="s">
        <v>44</v>
      </c>
      <c r="B22" s="15"/>
      <c r="C22" s="15"/>
      <c r="D22" s="15"/>
      <c r="E22" s="15"/>
      <c r="F22" s="15"/>
      <c r="G22" s="15"/>
      <c r="H22" s="15"/>
      <c r="I22" s="15"/>
    </row>
    <row r="23" customFormat="false" ht="15" hidden="false" customHeight="true" outlineLevel="0" collapsed="false">
      <c r="A23" s="15" t="s">
        <v>45</v>
      </c>
      <c r="B23" s="15"/>
      <c r="C23" s="15"/>
      <c r="D23" s="15"/>
      <c r="E23" s="15"/>
      <c r="F23" s="15"/>
      <c r="G23" s="15"/>
      <c r="H23" s="15"/>
      <c r="I23" s="15"/>
    </row>
  </sheetData>
  <mergeCells count="4">
    <mergeCell ref="A1:I1"/>
    <mergeCell ref="A21:I21"/>
    <mergeCell ref="A22:I22"/>
    <mergeCell ref="A23:I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34"/>
    <col collapsed="false" customWidth="true" hidden="false" outlineLevel="0" max="4" min="3" style="1" width="10"/>
    <col collapsed="false" customWidth="true" hidden="false" outlineLevel="0" max="6" min="5" style="1" width="12"/>
    <col collapsed="false" customWidth="true" hidden="false" outlineLevel="0" max="8" min="7" style="1" width="9"/>
    <col collapsed="false" customWidth="true" hidden="false" outlineLevel="0" max="9" min="9" style="1" width="12"/>
  </cols>
  <sheetData>
    <row r="1" customFormat="false" ht="31.5" hidden="false" customHeight="true" outlineLevel="0" collapsed="false">
      <c r="A1" s="2" t="s">
        <v>46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15" t="s">
        <v>47</v>
      </c>
      <c r="B2" s="15"/>
      <c r="C2" s="15"/>
      <c r="D2" s="15"/>
      <c r="E2" s="15"/>
      <c r="F2" s="15"/>
      <c r="G2" s="15"/>
      <c r="H2" s="15"/>
      <c r="I2" s="15"/>
    </row>
    <row r="4" customFormat="false" ht="45" hidden="false" customHeight="true" outlineLevel="0" collapsed="false">
      <c r="A4" s="3" t="s">
        <v>48</v>
      </c>
      <c r="B4" s="3" t="s">
        <v>49</v>
      </c>
      <c r="C4" s="3" t="s">
        <v>50</v>
      </c>
      <c r="D4" s="3" t="s">
        <v>51</v>
      </c>
      <c r="E4" s="3" t="s">
        <v>52</v>
      </c>
      <c r="F4" s="3" t="s">
        <v>53</v>
      </c>
      <c r="G4" s="3" t="s">
        <v>54</v>
      </c>
      <c r="H4" s="3" t="s">
        <v>55</v>
      </c>
      <c r="I4" s="3" t="s">
        <v>56</v>
      </c>
    </row>
    <row r="5" customFormat="false" ht="15" hidden="false" customHeight="true" outlineLevel="0" collapsed="false">
      <c r="A5" s="16" t="s">
        <v>18</v>
      </c>
      <c r="B5" s="5" t="str">
        <f aca="false">IF($A5="","",IFERROR(INDEX(Referencia_Conteineres!$B$4:$B$19,MATCH($A5,Referencia_Conteineres!$A$4:$A$19,0)),""))</f>
        <v>Contêiner com janela</v>
      </c>
      <c r="C5" s="17" t="n">
        <f aca="false">IF($A5="","",IFERROR(INDEX(Referencia_Conteineres!$F$4:$F$19,MATCH($A5,Referencia_Conteineres!$A$4:$A$19,0)),""))</f>
        <v>29.7192</v>
      </c>
      <c r="D5" s="16" t="n">
        <v>2300</v>
      </c>
      <c r="E5" s="16" t="n">
        <v>32</v>
      </c>
      <c r="F5" s="16" t="n">
        <v>27000</v>
      </c>
      <c r="G5" s="18" t="n">
        <f aca="false">IFERROR(C5/E5,"")</f>
        <v>0.928725</v>
      </c>
      <c r="H5" s="18" t="n">
        <f aca="false">IFERROR(D5/F5,"")</f>
        <v>0.0851851851851852</v>
      </c>
      <c r="I5" s="19" t="n">
        <f aca="false">IFERROR(MAX(G5,H5),"")</f>
        <v>0.928725</v>
      </c>
    </row>
    <row r="6" customFormat="false" ht="15" hidden="false" customHeight="true" outlineLevel="0" collapsed="false">
      <c r="A6" s="10"/>
      <c r="B6" s="11" t="str">
        <f aca="false">IF($A6="","",IFERROR(INDEX(Referencia_Conteineres!$B$4:$B$19,MATCH($A6,Referencia_Conteineres!$A$4:$A$19,0)),""))</f>
        <v/>
      </c>
      <c r="C6" s="10" t="str">
        <f aca="false">IF($A6="","",IFERROR(INDEX(Referencia_Conteineres!$F$4:$F$19,MATCH($A6,Referencia_Conteineres!$A$4:$A$19,0)),""))</f>
        <v/>
      </c>
      <c r="D6" s="10"/>
      <c r="E6" s="10"/>
      <c r="F6" s="10"/>
      <c r="G6" s="20" t="str">
        <f aca="false">IFERROR(C6/E6,"")</f>
        <v/>
      </c>
      <c r="H6" s="20" t="str">
        <f aca="false">IFERROR(D6/F6,"")</f>
        <v/>
      </c>
      <c r="I6" s="21" t="n">
        <f aca="false">IFERROR(MAX(G6,H6),"")</f>
        <v>0</v>
      </c>
    </row>
    <row r="7" customFormat="false" ht="15" hidden="false" customHeight="true" outlineLevel="0" collapsed="false">
      <c r="A7" s="16"/>
      <c r="B7" s="5" t="str">
        <f aca="false">IF($A7="","",IFERROR(INDEX(Referencia_Conteineres!$B$4:$B$19,MATCH($A7,Referencia_Conteineres!$A$4:$A$19,0)),""))</f>
        <v/>
      </c>
      <c r="C7" s="4" t="str">
        <f aca="false">IF($A7="","",IFERROR(INDEX(Referencia_Conteineres!$F$4:$F$19,MATCH($A7,Referencia_Conteineres!$A$4:$A$19,0)),""))</f>
        <v/>
      </c>
      <c r="D7" s="16"/>
      <c r="E7" s="16"/>
      <c r="F7" s="16"/>
      <c r="G7" s="18" t="str">
        <f aca="false">IFERROR(C7/E7,"")</f>
        <v/>
      </c>
      <c r="H7" s="18" t="str">
        <f aca="false">IFERROR(D7/F7,"")</f>
        <v/>
      </c>
      <c r="I7" s="19" t="n">
        <f aca="false">IFERROR(MAX(G7,H7),"")</f>
        <v>0</v>
      </c>
    </row>
    <row r="8" customFormat="false" ht="15" hidden="false" customHeight="true" outlineLevel="0" collapsed="false">
      <c r="A8" s="10"/>
      <c r="B8" s="11" t="str">
        <f aca="false">IF($A8="","",IFERROR(INDEX(Referencia_Conteineres!$B$4:$B$19,MATCH($A8,Referencia_Conteineres!$A$4:$A$19,0)),""))</f>
        <v/>
      </c>
      <c r="C8" s="10" t="str">
        <f aca="false">IF($A8="","",IFERROR(INDEX(Referencia_Conteineres!$F$4:$F$19,MATCH($A8,Referencia_Conteineres!$A$4:$A$19,0)),""))</f>
        <v/>
      </c>
      <c r="D8" s="10"/>
      <c r="E8" s="10"/>
      <c r="F8" s="10"/>
      <c r="G8" s="20" t="str">
        <f aca="false">IFERROR(C8/E8,"")</f>
        <v/>
      </c>
      <c r="H8" s="20" t="str">
        <f aca="false">IFERROR(D8/F8,"")</f>
        <v/>
      </c>
      <c r="I8" s="21" t="n">
        <f aca="false">IFERROR(MAX(G8,H8),"")</f>
        <v>0</v>
      </c>
    </row>
    <row r="9" customFormat="false" ht="15" hidden="false" customHeight="true" outlineLevel="0" collapsed="false">
      <c r="A9" s="16"/>
      <c r="B9" s="5" t="str">
        <f aca="false">IF($A9="","",IFERROR(INDEX(Referencia_Conteineres!$B$4:$B$19,MATCH($A9,Referencia_Conteineres!$A$4:$A$19,0)),""))</f>
        <v/>
      </c>
      <c r="C9" s="4" t="str">
        <f aca="false">IF($A9="","",IFERROR(INDEX(Referencia_Conteineres!$F$4:$F$19,MATCH($A9,Referencia_Conteineres!$A$4:$A$19,0)),""))</f>
        <v/>
      </c>
      <c r="D9" s="16"/>
      <c r="E9" s="16"/>
      <c r="F9" s="16"/>
      <c r="G9" s="18" t="str">
        <f aca="false">IFERROR(C9/E9,"")</f>
        <v/>
      </c>
      <c r="H9" s="18" t="str">
        <f aca="false">IFERROR(D9/F9,"")</f>
        <v/>
      </c>
      <c r="I9" s="19" t="n">
        <f aca="false">IFERROR(MAX(G9,H9),"")</f>
        <v>0</v>
      </c>
    </row>
    <row r="10" customFormat="false" ht="15" hidden="false" customHeight="true" outlineLevel="0" collapsed="false">
      <c r="A10" s="10"/>
      <c r="B10" s="11" t="str">
        <f aca="false">IF($A10="","",IFERROR(INDEX(Referencia_Conteineres!$B$4:$B$19,MATCH($A10,Referencia_Conteineres!$A$4:$A$19,0)),""))</f>
        <v/>
      </c>
      <c r="C10" s="10" t="str">
        <f aca="false">IF($A10="","",IFERROR(INDEX(Referencia_Conteineres!$F$4:$F$19,MATCH($A10,Referencia_Conteineres!$A$4:$A$19,0)),""))</f>
        <v/>
      </c>
      <c r="D10" s="10"/>
      <c r="E10" s="10"/>
      <c r="F10" s="10"/>
      <c r="G10" s="20" t="str">
        <f aca="false">IFERROR(C10/E10,"")</f>
        <v/>
      </c>
      <c r="H10" s="20" t="str">
        <f aca="false">IFERROR(D10/F10,"")</f>
        <v/>
      </c>
      <c r="I10" s="21" t="n">
        <f aca="false">IFERROR(MAX(G10,H10),"")</f>
        <v>0</v>
      </c>
    </row>
    <row r="11" customFormat="false" ht="15" hidden="false" customHeight="true" outlineLevel="0" collapsed="false">
      <c r="A11" s="16"/>
      <c r="B11" s="5" t="str">
        <f aca="false">IF($A11="","",IFERROR(INDEX(Referencia_Conteineres!$B$4:$B$19,MATCH($A11,Referencia_Conteineres!$A$4:$A$19,0)),""))</f>
        <v/>
      </c>
      <c r="C11" s="4" t="str">
        <f aca="false">IF($A11="","",IFERROR(INDEX(Referencia_Conteineres!$F$4:$F$19,MATCH($A11,Referencia_Conteineres!$A$4:$A$19,0)),""))</f>
        <v/>
      </c>
      <c r="D11" s="16"/>
      <c r="E11" s="16"/>
      <c r="F11" s="16"/>
      <c r="G11" s="18" t="str">
        <f aca="false">IFERROR(C11/E11,"")</f>
        <v/>
      </c>
      <c r="H11" s="18" t="str">
        <f aca="false">IFERROR(D11/F11,"")</f>
        <v/>
      </c>
      <c r="I11" s="19" t="n">
        <f aca="false">IFERROR(MAX(G11,H11),"")</f>
        <v>0</v>
      </c>
    </row>
    <row r="12" customFormat="false" ht="15" hidden="false" customHeight="true" outlineLevel="0" collapsed="false">
      <c r="A12" s="10"/>
      <c r="B12" s="11" t="str">
        <f aca="false">IF($A12="","",IFERROR(INDEX(Referencia_Conteineres!$B$4:$B$19,MATCH($A12,Referencia_Conteineres!$A$4:$A$19,0)),""))</f>
        <v/>
      </c>
      <c r="C12" s="10" t="str">
        <f aca="false">IF($A12="","",IFERROR(INDEX(Referencia_Conteineres!$F$4:$F$19,MATCH($A12,Referencia_Conteineres!$A$4:$A$19,0)),""))</f>
        <v/>
      </c>
      <c r="D12" s="10"/>
      <c r="E12" s="10"/>
      <c r="F12" s="10"/>
      <c r="G12" s="20" t="str">
        <f aca="false">IFERROR(C12/E12,"")</f>
        <v/>
      </c>
      <c r="H12" s="20" t="str">
        <f aca="false">IFERROR(D12/F12,"")</f>
        <v/>
      </c>
      <c r="I12" s="21" t="n">
        <f aca="false">IFERROR(MAX(G12,H12),"")</f>
        <v>0</v>
      </c>
    </row>
    <row r="13" customFormat="false" ht="15" hidden="false" customHeight="true" outlineLevel="0" collapsed="false">
      <c r="A13" s="16"/>
      <c r="B13" s="5" t="str">
        <f aca="false">IF($A13="","",IFERROR(INDEX(Referencia_Conteineres!$B$4:$B$19,MATCH($A13,Referencia_Conteineres!$A$4:$A$19,0)),""))</f>
        <v/>
      </c>
      <c r="C13" s="4" t="str">
        <f aca="false">IF($A13="","",IFERROR(INDEX(Referencia_Conteineres!$F$4:$F$19,MATCH($A13,Referencia_Conteineres!$A$4:$A$19,0)),""))</f>
        <v/>
      </c>
      <c r="D13" s="16"/>
      <c r="E13" s="16"/>
      <c r="F13" s="16"/>
      <c r="G13" s="18" t="str">
        <f aca="false">IFERROR(C13/E13,"")</f>
        <v/>
      </c>
      <c r="H13" s="18" t="str">
        <f aca="false">IFERROR(D13/F13,"")</f>
        <v/>
      </c>
      <c r="I13" s="19" t="n">
        <f aca="false">IFERROR(MAX(G13,H13),"")</f>
        <v>0</v>
      </c>
    </row>
    <row r="14" customFormat="false" ht="15" hidden="false" customHeight="true" outlineLevel="0" collapsed="false">
      <c r="A14" s="10"/>
      <c r="B14" s="11" t="str">
        <f aca="false">IF($A14="","",IFERROR(INDEX(Referencia_Conteineres!$B$4:$B$19,MATCH($A14,Referencia_Conteineres!$A$4:$A$19,0)),""))</f>
        <v/>
      </c>
      <c r="C14" s="10" t="str">
        <f aca="false">IF($A14="","",IFERROR(INDEX(Referencia_Conteineres!$F$4:$F$19,MATCH($A14,Referencia_Conteineres!$A$4:$A$19,0)),""))</f>
        <v/>
      </c>
      <c r="D14" s="10"/>
      <c r="E14" s="10"/>
      <c r="F14" s="10"/>
      <c r="G14" s="20" t="str">
        <f aca="false">IFERROR(C14/E14,"")</f>
        <v/>
      </c>
      <c r="H14" s="20" t="str">
        <f aca="false">IFERROR(D14/F14,"")</f>
        <v/>
      </c>
      <c r="I14" s="21" t="n">
        <f aca="false">IFERROR(MAX(G14,H14),"")</f>
        <v>0</v>
      </c>
    </row>
    <row r="15" customFormat="false" ht="15" hidden="false" customHeight="true" outlineLevel="0" collapsed="false">
      <c r="A15" s="16"/>
      <c r="B15" s="5" t="str">
        <f aca="false">IF($A15="","",IFERROR(INDEX(Referencia_Conteineres!$B$4:$B$19,MATCH($A15,Referencia_Conteineres!$A$4:$A$19,0)),""))</f>
        <v/>
      </c>
      <c r="C15" s="4" t="str">
        <f aca="false">IF($A15="","",IFERROR(INDEX(Referencia_Conteineres!$F$4:$F$19,MATCH($A15,Referencia_Conteineres!$A$4:$A$19,0)),""))</f>
        <v/>
      </c>
      <c r="D15" s="16"/>
      <c r="E15" s="16"/>
      <c r="F15" s="16"/>
      <c r="G15" s="18" t="str">
        <f aca="false">IFERROR(C15/E15,"")</f>
        <v/>
      </c>
      <c r="H15" s="18" t="str">
        <f aca="false">IFERROR(D15/F15,"")</f>
        <v/>
      </c>
      <c r="I15" s="19" t="n">
        <f aca="false">IFERROR(MAX(G15,H15),"")</f>
        <v>0</v>
      </c>
    </row>
    <row r="16" customFormat="false" ht="15" hidden="false" customHeight="true" outlineLevel="0" collapsed="false">
      <c r="A16" s="10"/>
      <c r="B16" s="11" t="str">
        <f aca="false">IF($A16="","",IFERROR(INDEX(Referencia_Conteineres!$B$4:$B$19,MATCH($A16,Referencia_Conteineres!$A$4:$A$19,0)),""))</f>
        <v/>
      </c>
      <c r="C16" s="10" t="str">
        <f aca="false">IF($A16="","",IFERROR(INDEX(Referencia_Conteineres!$F$4:$F$19,MATCH($A16,Referencia_Conteineres!$A$4:$A$19,0)),""))</f>
        <v/>
      </c>
      <c r="D16" s="10"/>
      <c r="E16" s="10"/>
      <c r="F16" s="10"/>
      <c r="G16" s="20" t="str">
        <f aca="false">IFERROR(C16/E16,"")</f>
        <v/>
      </c>
      <c r="H16" s="20" t="str">
        <f aca="false">IFERROR(D16/F16,"")</f>
        <v/>
      </c>
      <c r="I16" s="21" t="n">
        <f aca="false">IFERROR(MAX(G16,H16),"")</f>
        <v>0</v>
      </c>
    </row>
    <row r="17" customFormat="false" ht="15" hidden="false" customHeight="true" outlineLevel="0" collapsed="false">
      <c r="A17" s="16"/>
      <c r="B17" s="5" t="str">
        <f aca="false">IF($A17="","",IFERROR(INDEX(Referencia_Conteineres!$B$4:$B$19,MATCH($A17,Referencia_Conteineres!$A$4:$A$19,0)),""))</f>
        <v/>
      </c>
      <c r="C17" s="4" t="str">
        <f aca="false">IF($A17="","",IFERROR(INDEX(Referencia_Conteineres!$F$4:$F$19,MATCH($A17,Referencia_Conteineres!$A$4:$A$19,0)),""))</f>
        <v/>
      </c>
      <c r="D17" s="16"/>
      <c r="E17" s="16"/>
      <c r="F17" s="16"/>
      <c r="G17" s="18" t="str">
        <f aca="false">IFERROR(C17/E17,"")</f>
        <v/>
      </c>
      <c r="H17" s="18" t="str">
        <f aca="false">IFERROR(D17/F17,"")</f>
        <v/>
      </c>
      <c r="I17" s="19" t="n">
        <f aca="false">IFERROR(MAX(G17,H17),"")</f>
        <v>0</v>
      </c>
    </row>
    <row r="18" customFormat="false" ht="15" hidden="false" customHeight="true" outlineLevel="0" collapsed="false">
      <c r="A18" s="10"/>
      <c r="B18" s="11" t="str">
        <f aca="false">IF($A18="","",IFERROR(INDEX(Referencia_Conteineres!$B$4:$B$19,MATCH($A18,Referencia_Conteineres!$A$4:$A$19,0)),""))</f>
        <v/>
      </c>
      <c r="C18" s="10" t="str">
        <f aca="false">IF($A18="","",IFERROR(INDEX(Referencia_Conteineres!$F$4:$F$19,MATCH($A18,Referencia_Conteineres!$A$4:$A$19,0)),""))</f>
        <v/>
      </c>
      <c r="D18" s="10"/>
      <c r="E18" s="10"/>
      <c r="F18" s="10"/>
      <c r="G18" s="20" t="str">
        <f aca="false">IFERROR(C18/E18,"")</f>
        <v/>
      </c>
      <c r="H18" s="20" t="str">
        <f aca="false">IFERROR(D18/F18,"")</f>
        <v/>
      </c>
      <c r="I18" s="21" t="n">
        <f aca="false">IFERROR(MAX(G18,H18),"")</f>
        <v>0</v>
      </c>
    </row>
    <row r="19" customFormat="false" ht="15" hidden="false" customHeight="true" outlineLevel="0" collapsed="false">
      <c r="A19" s="16"/>
      <c r="B19" s="5" t="str">
        <f aca="false">IF($A19="","",IFERROR(INDEX(Referencia_Conteineres!$B$4:$B$19,MATCH($A19,Referencia_Conteineres!$A$4:$A$19,0)),""))</f>
        <v/>
      </c>
      <c r="C19" s="4" t="str">
        <f aca="false">IF($A19="","",IFERROR(INDEX(Referencia_Conteineres!$F$4:$F$19,MATCH($A19,Referencia_Conteineres!$A$4:$A$19,0)),""))</f>
        <v/>
      </c>
      <c r="D19" s="16"/>
      <c r="E19" s="16"/>
      <c r="F19" s="16"/>
      <c r="G19" s="18" t="str">
        <f aca="false">IFERROR(C19/E19,"")</f>
        <v/>
      </c>
      <c r="H19" s="18" t="str">
        <f aca="false">IFERROR(D19/F19,"")</f>
        <v/>
      </c>
      <c r="I19" s="19" t="n">
        <f aca="false">IFERROR(MAX(G19,H19),"")</f>
        <v>0</v>
      </c>
    </row>
    <row r="20" customFormat="false" ht="15" hidden="false" customHeight="true" outlineLevel="0" collapsed="false">
      <c r="A20" s="10"/>
      <c r="B20" s="11" t="str">
        <f aca="false">IF($A20="","",IFERROR(INDEX(Referencia_Conteineres!$B$4:$B$19,MATCH($A20,Referencia_Conteineres!$A$4:$A$19,0)),""))</f>
        <v/>
      </c>
      <c r="C20" s="10" t="str">
        <f aca="false">IF($A20="","",IFERROR(INDEX(Referencia_Conteineres!$F$4:$F$19,MATCH($A20,Referencia_Conteineres!$A$4:$A$19,0)),""))</f>
        <v/>
      </c>
      <c r="D20" s="10"/>
      <c r="E20" s="10"/>
      <c r="F20" s="10"/>
      <c r="G20" s="20" t="str">
        <f aca="false">IFERROR(C20/E20,"")</f>
        <v/>
      </c>
      <c r="H20" s="20" t="str">
        <f aca="false">IFERROR(D20/F20,"")</f>
        <v/>
      </c>
      <c r="I20" s="21" t="n">
        <f aca="false">IFERROR(MAX(G20,H20),"")</f>
        <v>0</v>
      </c>
    </row>
    <row r="22" customFormat="false" ht="15" hidden="false" customHeight="true" outlineLevel="0" collapsed="false">
      <c r="A22" s="22" t="s">
        <v>57</v>
      </c>
      <c r="B22" s="22"/>
      <c r="C22" s="22"/>
      <c r="D22" s="22"/>
      <c r="E22" s="22"/>
      <c r="F22" s="22"/>
      <c r="G22" s="22"/>
      <c r="H22" s="22"/>
      <c r="I22" s="22"/>
    </row>
    <row r="23" customFormat="false" ht="15" hidden="false" customHeight="true" outlineLevel="0" collapsed="false">
      <c r="A23" s="22" t="s">
        <v>58</v>
      </c>
      <c r="B23" s="22"/>
      <c r="C23" s="22"/>
      <c r="D23" s="22"/>
      <c r="E23" s="22"/>
      <c r="F23" s="22"/>
      <c r="G23" s="22"/>
      <c r="H23" s="22"/>
      <c r="I23" s="22"/>
    </row>
    <row r="24" customFormat="false" ht="15" hidden="false" customHeight="true" outlineLevel="0" collapsed="false">
      <c r="A24" s="22" t="s">
        <v>59</v>
      </c>
      <c r="B24" s="22"/>
      <c r="C24" s="22"/>
      <c r="D24" s="22"/>
      <c r="E24" s="22"/>
      <c r="F24" s="22"/>
      <c r="G24" s="22"/>
      <c r="H24" s="22"/>
      <c r="I24" s="22"/>
    </row>
    <row r="25" customFormat="false" ht="15" hidden="false" customHeight="true" outlineLevel="0" collapsed="false">
      <c r="A25" s="22" t="s">
        <v>60</v>
      </c>
      <c r="B25" s="22"/>
      <c r="C25" s="22"/>
      <c r="D25" s="22"/>
      <c r="E25" s="22"/>
      <c r="F25" s="22"/>
      <c r="G25" s="22"/>
      <c r="H25" s="22"/>
      <c r="I25" s="22"/>
    </row>
    <row r="26" customFormat="false" ht="15" hidden="false" customHeight="true" outlineLevel="0" collapsed="false">
      <c r="A26" s="22"/>
      <c r="B26" s="22"/>
      <c r="C26" s="22"/>
      <c r="D26" s="22"/>
      <c r="E26" s="22"/>
      <c r="F26" s="22"/>
      <c r="G26" s="22"/>
      <c r="H26" s="22"/>
      <c r="I26" s="22"/>
    </row>
    <row r="27" customFormat="false" ht="15" hidden="false" customHeight="true" outlineLevel="0" collapsed="false">
      <c r="A27" s="22" t="s">
        <v>61</v>
      </c>
      <c r="B27" s="22"/>
      <c r="C27" s="22"/>
      <c r="D27" s="22"/>
      <c r="E27" s="22"/>
      <c r="F27" s="22"/>
      <c r="G27" s="22"/>
      <c r="H27" s="22"/>
      <c r="I27" s="22"/>
    </row>
    <row r="28" customFormat="false" ht="15" hidden="false" customHeight="true" outlineLevel="0" collapsed="false">
      <c r="A28" s="22" t="s">
        <v>62</v>
      </c>
      <c r="B28" s="22"/>
      <c r="C28" s="22"/>
      <c r="D28" s="22"/>
      <c r="E28" s="22"/>
      <c r="F28" s="22"/>
      <c r="G28" s="22"/>
      <c r="H28" s="22"/>
      <c r="I28" s="22"/>
    </row>
    <row r="29" customFormat="false" ht="15" hidden="false" customHeight="true" outlineLevel="0" collapsed="false">
      <c r="A29" s="22" t="s">
        <v>63</v>
      </c>
      <c r="B29" s="22"/>
      <c r="C29" s="22"/>
      <c r="D29" s="22"/>
      <c r="E29" s="22"/>
      <c r="F29" s="22"/>
      <c r="G29" s="22"/>
      <c r="H29" s="22"/>
      <c r="I29" s="22"/>
    </row>
    <row r="30" customFormat="false" ht="15" hidden="false" customHeight="true" outlineLevel="0" collapsed="false">
      <c r="A30" s="22" t="s">
        <v>64</v>
      </c>
      <c r="B30" s="22"/>
      <c r="C30" s="22"/>
      <c r="D30" s="22"/>
      <c r="E30" s="22"/>
      <c r="F30" s="22"/>
      <c r="G30" s="22"/>
      <c r="H30" s="22"/>
      <c r="I30" s="22"/>
    </row>
  </sheetData>
  <mergeCells count="11">
    <mergeCell ref="A1:I1"/>
    <mergeCell ref="A2:I2"/>
    <mergeCell ref="A22:I22"/>
    <mergeCell ref="A23:I23"/>
    <mergeCell ref="A24:I24"/>
    <mergeCell ref="A25:I25"/>
    <mergeCell ref="A26:I26"/>
    <mergeCell ref="A27:I27"/>
    <mergeCell ref="A28:I28"/>
    <mergeCell ref="A29:I29"/>
    <mergeCell ref="A30:I30"/>
  </mergeCells>
  <dataValidations count="1">
    <dataValidation allowBlank="true" errorStyle="stop" operator="between" showDropDown="false" showErrorMessage="false" showInputMessage="false" sqref="A5:A20" type="list">
      <formula1>Referencia_Conteineres!$A$4:$A$19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2026-09-22T00:24:53Z</dcterms:created>
  <dc:creator>openpyxl</dc:creator>
  <dc:description/>
  <dc:language>en-US</dc:language>
  <cp:lastModifiedBy/>
  <dcterms:modified xsi:type="dcterms:W3CDTF">2026-09-22T00:26:38Z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